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" sheetId="1" state="visible" r:id="rId1"/>
    <sheet name="모티브" sheetId="2" state="visible" r:id="rId2"/>
    <sheet name="고정형" sheetId="3" state="visible" r:id="rId3"/>
    <sheet name="대리점" sheetId="4" state="visible" r:id="rId4"/>
    <sheet name="차량o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8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2">
      <c r="A2" s="1" t="inlineStr">
        <is>
          <t xml:space="preserve"> 2026년 경영계획 국내_월별 손익계산서 (더미데이터)</t>
        </is>
      </c>
    </row>
    <row r="6">
      <c r="A6" t="inlineStr">
        <is>
          <t>1. 국내_손익계산서</t>
        </is>
      </c>
    </row>
    <row r="7">
      <c r="A7" t="inlineStr">
        <is>
          <t xml:space="preserve"> ※ 지게차 22.9cell 환산</t>
        </is>
      </c>
    </row>
    <row r="8">
      <c r="S8" t="inlineStr">
        <is>
          <t>(단위 : 대, 백만원)</t>
        </is>
      </c>
    </row>
    <row r="9">
      <c r="A9" s="2" t="inlineStr">
        <is>
          <t>구분</t>
        </is>
      </c>
      <c r="B9" s="2" t="inlineStr">
        <is>
          <t>1월</t>
        </is>
      </c>
      <c r="C9" s="2" t="inlineStr">
        <is>
          <t>2월</t>
        </is>
      </c>
      <c r="D9" s="2" t="inlineStr">
        <is>
          <t>3월</t>
        </is>
      </c>
      <c r="E9" s="2" t="inlineStr">
        <is>
          <t>4월</t>
        </is>
      </c>
      <c r="F9" s="2" t="inlineStr">
        <is>
          <t>5월</t>
        </is>
      </c>
      <c r="G9" s="2" t="inlineStr">
        <is>
          <t>6월</t>
        </is>
      </c>
      <c r="H9" s="2" t="inlineStr">
        <is>
          <t>7월</t>
        </is>
      </c>
      <c r="I9" s="2" t="inlineStr">
        <is>
          <t>8월</t>
        </is>
      </c>
      <c r="J9" s="2" t="inlineStr">
        <is>
          <t>9월</t>
        </is>
      </c>
      <c r="K9" s="2" t="inlineStr">
        <is>
          <t>10월</t>
        </is>
      </c>
      <c r="L9" s="2" t="inlineStr">
        <is>
          <t>11월</t>
        </is>
      </c>
      <c r="M9" s="2" t="inlineStr">
        <is>
          <t>12월</t>
        </is>
      </c>
      <c r="N9" s="2" t="inlineStr">
        <is>
          <t>1/4분기</t>
        </is>
      </c>
      <c r="O9" s="2" t="inlineStr">
        <is>
          <t>2/4분기</t>
        </is>
      </c>
      <c r="P9" s="2" t="inlineStr">
        <is>
          <t>3/4분기</t>
        </is>
      </c>
      <c r="Q9" s="2" t="inlineStr">
        <is>
          <t>4/4분기</t>
        </is>
      </c>
      <c r="R9" s="2" t="inlineStr">
        <is>
          <t>상반기</t>
        </is>
      </c>
      <c r="S9" s="2" t="inlineStr">
        <is>
          <t>하반기</t>
        </is>
      </c>
      <c r="T9" s="2" t="inlineStr">
        <is>
          <t>총계</t>
        </is>
      </c>
    </row>
    <row r="10">
      <c r="A10" t="inlineStr">
        <is>
          <t xml:space="preserve">   매출수량</t>
        </is>
      </c>
      <c r="B10">
        <f>모티브!B4+고정형!B4+대리점!B4+차량oe!B4</f>
        <v/>
      </c>
      <c r="C10">
        <f>모티브!C4+고정형!C4+대리점!C4+차량oe!C4</f>
        <v/>
      </c>
      <c r="D10">
        <f>모티브!D4+고정형!D4+대리점!D4+차량oe!D4</f>
        <v/>
      </c>
      <c r="E10">
        <f>모티브!E4+고정형!E4+대리점!E4+차량oe!E4</f>
        <v/>
      </c>
      <c r="F10">
        <f>모티브!F4+고정형!F4+대리점!F4+차량oe!F4</f>
        <v/>
      </c>
      <c r="G10">
        <f>모티브!G4+고정형!G4+대리점!G4+차량oe!G4</f>
        <v/>
      </c>
      <c r="H10">
        <f>모티브!H4+고정형!H4+대리점!H4+차량oe!H4</f>
        <v/>
      </c>
      <c r="I10">
        <f>모티브!I4+고정형!I4+대리점!I4+차량oe!I4</f>
        <v/>
      </c>
      <c r="J10">
        <f>모티브!J4+고정형!J4+대리점!J4+차량oe!J4</f>
        <v/>
      </c>
      <c r="K10">
        <f>모티브!K4+고정형!K4+대리점!K4+차량oe!K4</f>
        <v/>
      </c>
      <c r="L10">
        <f>모티브!L4+고정형!L4+대리점!L4+차량oe!L4</f>
        <v/>
      </c>
      <c r="M10">
        <f>모티브!M4+고정형!M4+대리점!M4+차량oe!M4</f>
        <v/>
      </c>
      <c r="N10">
        <f>SUM(B10:D10)</f>
        <v/>
      </c>
      <c r="O10">
        <f>SUM(E10:G10)</f>
        <v/>
      </c>
      <c r="P10">
        <f>SUM(H10:J10)</f>
        <v/>
      </c>
      <c r="Q10">
        <f>SUM(K10:M10)</f>
        <v/>
      </c>
      <c r="R10">
        <f>SUM(N10:O10)</f>
        <v/>
      </c>
      <c r="S10">
        <f>SUM(P10:Q10)</f>
        <v/>
      </c>
      <c r="T10">
        <f>R10+S10</f>
        <v/>
      </c>
    </row>
    <row r="11">
      <c r="A11" t="inlineStr">
        <is>
          <t xml:space="preserve"> 매출액(Total)</t>
        </is>
      </c>
      <c r="B11">
        <f>모티브!B5+고정형!B5+대리점!B5+차량oe!B5</f>
        <v/>
      </c>
      <c r="C11">
        <f>모티브!C5+고정형!C5+대리점!C5+차량oe!C5</f>
        <v/>
      </c>
      <c r="D11">
        <f>모티브!D5+고정형!D5+대리점!D5+차량oe!D5</f>
        <v/>
      </c>
      <c r="E11">
        <f>모티브!E5+고정형!E5+대리점!E5+차량oe!E5</f>
        <v/>
      </c>
      <c r="F11">
        <f>모티브!F5+고정형!F5+대리점!F5+차량oe!F5</f>
        <v/>
      </c>
      <c r="G11">
        <f>모티브!G5+고정형!G5+대리점!G5+차량oe!G5</f>
        <v/>
      </c>
      <c r="H11">
        <f>모티브!H5+고정형!H5+대리점!H5+차량oe!H5</f>
        <v/>
      </c>
      <c r="I11">
        <f>모티브!I5+고정형!I5+대리점!I5+차량oe!I5</f>
        <v/>
      </c>
      <c r="J11">
        <f>모티브!J5+고정형!J5+대리점!J5+차량oe!J5</f>
        <v/>
      </c>
      <c r="K11">
        <f>모티브!K5+고정형!K5+대리점!K5+차량oe!K5</f>
        <v/>
      </c>
      <c r="L11">
        <f>모티브!L5+고정형!L5+대리점!L5+차량oe!L5</f>
        <v/>
      </c>
      <c r="M11">
        <f>모티브!M5+고정형!M5+대리점!M5+차량oe!M5</f>
        <v/>
      </c>
      <c r="N11">
        <f>SUM(B11:D11)</f>
        <v/>
      </c>
      <c r="O11">
        <f>SUM(E11:G11)</f>
        <v/>
      </c>
      <c r="P11">
        <f>SUM(H11:J11)</f>
        <v/>
      </c>
      <c r="Q11">
        <f>SUM(K11:M11)</f>
        <v/>
      </c>
      <c r="R11">
        <f>SUM(N11:O11)</f>
        <v/>
      </c>
      <c r="S11">
        <f>SUM(P11:Q11)</f>
        <v/>
      </c>
      <c r="T11">
        <f>R11+S11</f>
        <v/>
      </c>
    </row>
    <row r="12">
      <c r="A12" t="inlineStr">
        <is>
          <t xml:space="preserve"> 매출원가(A)Tot</t>
        </is>
      </c>
      <c r="B12">
        <f>SUM(B14:B46)</f>
        <v/>
      </c>
      <c r="C12">
        <f>SUM(C14:C46)</f>
        <v/>
      </c>
      <c r="D12">
        <f>SUM(D14:D46)</f>
        <v/>
      </c>
      <c r="E12">
        <f>SUM(E14:E46)</f>
        <v/>
      </c>
      <c r="F12">
        <f>SUM(F14:F46)</f>
        <v/>
      </c>
      <c r="G12">
        <f>SUM(G14:G46)</f>
        <v/>
      </c>
      <c r="H12">
        <f>SUM(H14:H46)</f>
        <v/>
      </c>
      <c r="I12">
        <f>SUM(I14:I46)</f>
        <v/>
      </c>
      <c r="J12">
        <f>SUM(J14:J46)</f>
        <v/>
      </c>
      <c r="K12">
        <f>SUM(K14:K46)</f>
        <v/>
      </c>
      <c r="L12">
        <f>SUM(L14:L46)</f>
        <v/>
      </c>
      <c r="M12">
        <f>SUM(M14:M46)</f>
        <v/>
      </c>
      <c r="N12">
        <f>SUM(B12:D12)</f>
        <v/>
      </c>
      <c r="O12">
        <f>SUM(E12:G12)</f>
        <v/>
      </c>
      <c r="P12">
        <f>SUM(H12:J12)</f>
        <v/>
      </c>
      <c r="Q12">
        <f>SUM(K12:M12)</f>
        <v/>
      </c>
      <c r="R12">
        <f>SUM(N12:O12)</f>
        <v/>
      </c>
      <c r="S12">
        <f>SUM(P12:Q12)</f>
        <v/>
      </c>
      <c r="T12">
        <f>R12+S12</f>
        <v/>
      </c>
    </row>
    <row r="13">
      <c r="B13">
        <f>IFERROR(B12/B11,0)</f>
        <v/>
      </c>
      <c r="C13">
        <f>IFERROR(C12/C11,0)</f>
        <v/>
      </c>
      <c r="D13">
        <f>IFERROR(D12/D11,0)</f>
        <v/>
      </c>
      <c r="E13">
        <f>IFERROR(E12/E11,0)</f>
        <v/>
      </c>
      <c r="F13">
        <f>IFERROR(F12/F11,0)</f>
        <v/>
      </c>
      <c r="G13">
        <f>IFERROR(G12/G11,0)</f>
        <v/>
      </c>
      <c r="H13">
        <f>IFERROR(H12/H11,0)</f>
        <v/>
      </c>
      <c r="I13">
        <f>IFERROR(I12/I11,0)</f>
        <v/>
      </c>
      <c r="J13">
        <f>IFERROR(J12/J11,0)</f>
        <v/>
      </c>
      <c r="K13">
        <f>IFERROR(K12/K11,0)</f>
        <v/>
      </c>
      <c r="L13">
        <f>IFERROR(L12/L11,0)</f>
        <v/>
      </c>
      <c r="M13">
        <f>IFERROR(M12/M11,0)</f>
        <v/>
      </c>
      <c r="N13">
        <f>IFERROR(N12/N11,0)</f>
        <v/>
      </c>
      <c r="O13">
        <f>IFERROR(O12/O11,0)</f>
        <v/>
      </c>
      <c r="P13">
        <f>IFERROR(P12/P11,0)</f>
        <v/>
      </c>
      <c r="Q13">
        <f>IFERROR(Q12/Q11,0)</f>
        <v/>
      </c>
      <c r="R13">
        <f>IFERROR(R12/R11,0)</f>
        <v/>
      </c>
      <c r="S13">
        <f>IFERROR(S12/S11,0)</f>
        <v/>
      </c>
      <c r="T13">
        <f>IFERROR(T12/T11,0)</f>
        <v/>
      </c>
    </row>
    <row r="14">
      <c r="A14" t="inlineStr">
        <is>
          <t xml:space="preserve"> 상품매출원가</t>
        </is>
      </c>
      <c r="B14">
        <f>모티브!B8+고정형!B8+대리점!B8+차량oe!B8</f>
        <v/>
      </c>
      <c r="C14">
        <f>모티브!C8+고정형!C8+대리점!C8+차량oe!C8</f>
        <v/>
      </c>
      <c r="D14">
        <f>모티브!D8+고정형!D8+대리점!D8+차량oe!D8</f>
        <v/>
      </c>
      <c r="E14">
        <f>모티브!E8+고정형!E8+대리점!E8+차량oe!E8</f>
        <v/>
      </c>
      <c r="F14">
        <f>모티브!F8+고정형!F8+대리점!F8+차량oe!F8</f>
        <v/>
      </c>
      <c r="G14">
        <f>모티브!G8+고정형!G8+대리점!G8+차량oe!G8</f>
        <v/>
      </c>
      <c r="H14">
        <f>모티브!H8+고정형!H8+대리점!H8+차량oe!H8</f>
        <v/>
      </c>
      <c r="I14">
        <f>모티브!I8+고정형!I8+대리점!I8+차량oe!I8</f>
        <v/>
      </c>
      <c r="J14">
        <f>모티브!J8+고정형!J8+대리점!J8+차량oe!J8</f>
        <v/>
      </c>
      <c r="K14">
        <f>모티브!K8+고정형!K8+대리점!K8+차량oe!K8</f>
        <v/>
      </c>
      <c r="L14">
        <f>모티브!L8+고정형!L8+대리점!L8+차량oe!L8</f>
        <v/>
      </c>
      <c r="M14">
        <f>모티브!M8+고정형!M8+대리점!M8+차량oe!M8</f>
        <v/>
      </c>
      <c r="N14">
        <f>SUM(B14:D14)</f>
        <v/>
      </c>
      <c r="O14">
        <f>SUM(E14:G14)</f>
        <v/>
      </c>
      <c r="P14">
        <f>SUM(H14:J14)</f>
        <v/>
      </c>
      <c r="Q14">
        <f>SUM(K14:M14)</f>
        <v/>
      </c>
      <c r="R14">
        <f>SUM(N14:O14)</f>
        <v/>
      </c>
      <c r="S14">
        <f>SUM(P14:Q14)</f>
        <v/>
      </c>
      <c r="T14">
        <f>R14+S14</f>
        <v/>
      </c>
    </row>
    <row r="15">
      <c r="A15" t="inlineStr">
        <is>
          <t xml:space="preserve"> 재고실사차이</t>
        </is>
      </c>
      <c r="B15">
        <f>모티브!B9+고정형!B9+대리점!B9+차량oe!B9</f>
        <v/>
      </c>
      <c r="C15">
        <f>모티브!C9+고정형!C9+대리점!C9+차량oe!C9</f>
        <v/>
      </c>
      <c r="D15">
        <f>모티브!D9+고정형!D9+대리점!D9+차량oe!D9</f>
        <v/>
      </c>
      <c r="E15">
        <f>모티브!E9+고정형!E9+대리점!E9+차량oe!E9</f>
        <v/>
      </c>
      <c r="F15">
        <f>모티브!F9+고정형!F9+대리점!F9+차량oe!F9</f>
        <v/>
      </c>
      <c r="G15">
        <f>모티브!G9+고정형!G9+대리점!G9+차량oe!G9</f>
        <v/>
      </c>
      <c r="H15">
        <f>모티브!H9+고정형!H9+대리점!H9+차량oe!H9</f>
        <v/>
      </c>
      <c r="I15">
        <f>모티브!I9+고정형!I9+대리점!I9+차량oe!I9</f>
        <v/>
      </c>
      <c r="J15">
        <f>모티브!J9+고정형!J9+대리점!J9+차량oe!J9</f>
        <v/>
      </c>
      <c r="K15">
        <f>모티브!K9+고정형!K9+대리점!K9+차량oe!K9</f>
        <v/>
      </c>
      <c r="L15">
        <f>모티브!L9+고정형!L9+대리점!L9+차량oe!L9</f>
        <v/>
      </c>
      <c r="M15">
        <f>모티브!M9+고정형!M9+대리점!M9+차량oe!M9</f>
        <v/>
      </c>
      <c r="N15">
        <f>SUM(B15:D15)</f>
        <v/>
      </c>
      <c r="O15">
        <f>SUM(E15:G15)</f>
        <v/>
      </c>
      <c r="P15">
        <f>SUM(H15:J15)</f>
        <v/>
      </c>
      <c r="Q15">
        <f>SUM(K15:M15)</f>
        <v/>
      </c>
      <c r="R15">
        <f>SUM(N15:O15)</f>
        <v/>
      </c>
      <c r="S15">
        <f>SUM(P15:Q15)</f>
        <v/>
      </c>
      <c r="T15">
        <f>R15+S15</f>
        <v/>
      </c>
    </row>
    <row r="16">
      <c r="A16" t="inlineStr">
        <is>
          <t xml:space="preserve"> 환불부채</t>
        </is>
      </c>
      <c r="B16">
        <f>모티브!B10+고정형!B10+대리점!B10+차량oe!B10</f>
        <v/>
      </c>
      <c r="C16">
        <f>모티브!C10+고정형!C10+대리점!C10+차량oe!C10</f>
        <v/>
      </c>
      <c r="D16">
        <f>모티브!D10+고정형!D10+대리점!D10+차량oe!D10</f>
        <v/>
      </c>
      <c r="E16">
        <f>모티브!E10+고정형!E10+대리점!E10+차량oe!E10</f>
        <v/>
      </c>
      <c r="F16">
        <f>모티브!F10+고정형!F10+대리점!F10+차량oe!F10</f>
        <v/>
      </c>
      <c r="G16">
        <f>모티브!G10+고정형!G10+대리점!G10+차량oe!G10</f>
        <v/>
      </c>
      <c r="H16">
        <f>모티브!H10+고정형!H10+대리점!H10+차량oe!H10</f>
        <v/>
      </c>
      <c r="I16">
        <f>모티브!I10+고정형!I10+대리점!I10+차량oe!I10</f>
        <v/>
      </c>
      <c r="J16">
        <f>모티브!J10+고정형!J10+대리점!J10+차량oe!J10</f>
        <v/>
      </c>
      <c r="K16">
        <f>모티브!K10+고정형!K10+대리점!K10+차량oe!K10</f>
        <v/>
      </c>
      <c r="L16">
        <f>모티브!L10+고정형!L10+대리점!L10+차량oe!L10</f>
        <v/>
      </c>
      <c r="M16">
        <f>모티브!M10+고정형!M10+대리점!M10+차량oe!M10</f>
        <v/>
      </c>
      <c r="N16">
        <f>SUM(B16:D16)</f>
        <v/>
      </c>
      <c r="O16">
        <f>SUM(E16:G16)</f>
        <v/>
      </c>
      <c r="P16">
        <f>SUM(H16:J16)</f>
        <v/>
      </c>
      <c r="Q16">
        <f>SUM(K16:M16)</f>
        <v/>
      </c>
      <c r="R16">
        <f>SUM(N16:O16)</f>
        <v/>
      </c>
      <c r="S16">
        <f>SUM(P16:Q16)</f>
        <v/>
      </c>
      <c r="T16">
        <f>R16+S16</f>
        <v/>
      </c>
    </row>
    <row r="17">
      <c r="A17" t="inlineStr">
        <is>
          <t xml:space="preserve"> 평가손실</t>
        </is>
      </c>
      <c r="B17">
        <f>모티브!B11+고정형!B11+대리점!B11+차량oe!B11</f>
        <v/>
      </c>
      <c r="C17">
        <f>모티브!C11+고정형!C11+대리점!C11+차량oe!C11</f>
        <v/>
      </c>
      <c r="D17">
        <f>모티브!D11+고정형!D11+대리점!D11+차량oe!D11</f>
        <v/>
      </c>
      <c r="E17">
        <f>모티브!E11+고정형!E11+대리점!E11+차량oe!E11</f>
        <v/>
      </c>
      <c r="F17">
        <f>모티브!F11+고정형!F11+대리점!F11+차량oe!F11</f>
        <v/>
      </c>
      <c r="G17">
        <f>모티브!G11+고정형!G11+대리점!G11+차량oe!G11</f>
        <v/>
      </c>
      <c r="H17">
        <f>모티브!H11+고정형!H11+대리점!H11+차량oe!H11</f>
        <v/>
      </c>
      <c r="I17">
        <f>모티브!I11+고정형!I11+대리점!I11+차량oe!I11</f>
        <v/>
      </c>
      <c r="J17">
        <f>모티브!J11+고정형!J11+대리점!J11+차량oe!J11</f>
        <v/>
      </c>
      <c r="K17">
        <f>모티브!K11+고정형!K11+대리점!K11+차량oe!K11</f>
        <v/>
      </c>
      <c r="L17">
        <f>모티브!L11+고정형!L11+대리점!L11+차량oe!L11</f>
        <v/>
      </c>
      <c r="M17">
        <f>모티브!M11+고정형!M11+대리점!M11+차량oe!M11</f>
        <v/>
      </c>
      <c r="N17">
        <f>SUM(B17:D17)</f>
        <v/>
      </c>
      <c r="O17">
        <f>SUM(E17:G17)</f>
        <v/>
      </c>
      <c r="P17">
        <f>SUM(H17:J17)</f>
        <v/>
      </c>
      <c r="Q17">
        <f>SUM(K17:M17)</f>
        <v/>
      </c>
      <c r="R17">
        <f>SUM(N17:O17)</f>
        <v/>
      </c>
      <c r="S17">
        <f>SUM(P17:Q17)</f>
        <v/>
      </c>
      <c r="T17">
        <f>R17+S17</f>
        <v/>
      </c>
    </row>
    <row r="18">
      <c r="A18" t="inlineStr">
        <is>
          <t xml:space="preserve"> 관세환급</t>
        </is>
      </c>
      <c r="B18">
        <f>모티브!B12+고정형!B12+대리점!B12+차량oe!B12</f>
        <v/>
      </c>
      <c r="C18">
        <f>모티브!C12+고정형!C12+대리점!C12+차량oe!C12</f>
        <v/>
      </c>
      <c r="D18">
        <f>모티브!D12+고정형!D12+대리점!D12+차량oe!D12</f>
        <v/>
      </c>
      <c r="E18">
        <f>모티브!E12+고정형!E12+대리점!E12+차량oe!E12</f>
        <v/>
      </c>
      <c r="F18">
        <f>모티브!F12+고정형!F12+대리점!F12+차량oe!F12</f>
        <v/>
      </c>
      <c r="G18">
        <f>모티브!G12+고정형!G12+대리점!G12+차량oe!G12</f>
        <v/>
      </c>
      <c r="H18">
        <f>모티브!H12+고정형!H12+대리점!H12+차량oe!H12</f>
        <v/>
      </c>
      <c r="I18">
        <f>모티브!I12+고정형!I12+대리점!I12+차량oe!I12</f>
        <v/>
      </c>
      <c r="J18">
        <f>모티브!J12+고정형!J12+대리점!J12+차량oe!J12</f>
        <v/>
      </c>
      <c r="K18">
        <f>모티브!K12+고정형!K12+대리점!K12+차량oe!K12</f>
        <v/>
      </c>
      <c r="L18">
        <f>모티브!L12+고정형!L12+대리점!L12+차량oe!L12</f>
        <v/>
      </c>
      <c r="M18">
        <f>모티브!M12+고정형!M12+대리점!M12+차량oe!M12</f>
        <v/>
      </c>
      <c r="N18">
        <f>SUM(B18:D18)</f>
        <v/>
      </c>
      <c r="O18">
        <f>SUM(E18:G18)</f>
        <v/>
      </c>
      <c r="P18">
        <f>SUM(H18:J18)</f>
        <v/>
      </c>
      <c r="Q18">
        <f>SUM(K18:M18)</f>
        <v/>
      </c>
      <c r="R18">
        <f>SUM(N18:O18)</f>
        <v/>
      </c>
      <c r="S18">
        <f>SUM(P18:Q18)</f>
        <v/>
      </c>
      <c r="T18">
        <f>R18+S18</f>
        <v/>
      </c>
    </row>
    <row r="19">
      <c r="A19" t="inlineStr">
        <is>
          <t xml:space="preserve"> 매출원가조정기타</t>
        </is>
      </c>
      <c r="B19">
        <f>모티브!B13+고정형!B13+대리점!B13+차량oe!B13</f>
        <v/>
      </c>
      <c r="C19">
        <f>모티브!C13+고정형!C13+대리점!C13+차량oe!C13</f>
        <v/>
      </c>
      <c r="D19">
        <f>모티브!D13+고정형!D13+대리점!D13+차량oe!D13</f>
        <v/>
      </c>
      <c r="E19">
        <f>모티브!E13+고정형!E13+대리점!E13+차량oe!E13</f>
        <v/>
      </c>
      <c r="F19">
        <f>모티브!F13+고정형!F13+대리점!F13+차량oe!F13</f>
        <v/>
      </c>
      <c r="G19">
        <f>모티브!G13+고정형!G13+대리점!G13+차량oe!G13</f>
        <v/>
      </c>
      <c r="H19">
        <f>모티브!H13+고정형!H13+대리점!H13+차량oe!H13</f>
        <v/>
      </c>
      <c r="I19">
        <f>모티브!I13+고정형!I13+대리점!I13+차량oe!I13</f>
        <v/>
      </c>
      <c r="J19">
        <f>모티브!J13+고정형!J13+대리점!J13+차량oe!J13</f>
        <v/>
      </c>
      <c r="K19">
        <f>모티브!K13+고정형!K13+대리점!K13+차량oe!K13</f>
        <v/>
      </c>
      <c r="L19">
        <f>모티브!L13+고정형!L13+대리점!L13+차량oe!L13</f>
        <v/>
      </c>
      <c r="M19">
        <f>모티브!M13+고정형!M13+대리점!M13+차량oe!M13</f>
        <v/>
      </c>
      <c r="N19">
        <f>SUM(B19:D19)</f>
        <v/>
      </c>
      <c r="O19">
        <f>SUM(E19:G19)</f>
        <v/>
      </c>
      <c r="P19">
        <f>SUM(H19:J19)</f>
        <v/>
      </c>
      <c r="Q19">
        <f>SUM(K19:M19)</f>
        <v/>
      </c>
      <c r="R19">
        <f>SUM(N19:O19)</f>
        <v/>
      </c>
      <c r="S19">
        <f>SUM(P19:Q19)</f>
        <v/>
      </c>
      <c r="T19">
        <f>R19+S19</f>
        <v/>
      </c>
    </row>
    <row r="20">
      <c r="A20" t="inlineStr">
        <is>
          <t xml:space="preserve"> 원재료비_순연</t>
        </is>
      </c>
      <c r="B20">
        <f>모티브!B14+고정형!B14+대리점!B14+차량oe!B14</f>
        <v/>
      </c>
      <c r="C20">
        <f>모티브!C14+고정형!C14+대리점!C14+차량oe!C14</f>
        <v/>
      </c>
      <c r="D20">
        <f>모티브!D14+고정형!D14+대리점!D14+차량oe!D14</f>
        <v/>
      </c>
      <c r="E20">
        <f>모티브!E14+고정형!E14+대리점!E14+차량oe!E14</f>
        <v/>
      </c>
      <c r="F20">
        <f>모티브!F14+고정형!F14+대리점!F14+차량oe!F14</f>
        <v/>
      </c>
      <c r="G20">
        <f>모티브!G14+고정형!G14+대리점!G14+차량oe!G14</f>
        <v/>
      </c>
      <c r="H20">
        <f>모티브!H14+고정형!H14+대리점!H14+차량oe!H14</f>
        <v/>
      </c>
      <c r="I20">
        <f>모티브!I14+고정형!I14+대리점!I14+차량oe!I14</f>
        <v/>
      </c>
      <c r="J20">
        <f>모티브!J14+고정형!J14+대리점!J14+차량oe!J14</f>
        <v/>
      </c>
      <c r="K20">
        <f>모티브!K14+고정형!K14+대리점!K14+차량oe!K14</f>
        <v/>
      </c>
      <c r="L20">
        <f>모티브!L14+고정형!L14+대리점!L14+차량oe!L14</f>
        <v/>
      </c>
      <c r="M20">
        <f>모티브!M14+고정형!M14+대리점!M14+차량oe!M14</f>
        <v/>
      </c>
      <c r="N20">
        <f>SUM(B20:D20)</f>
        <v/>
      </c>
      <c r="O20">
        <f>SUM(E20:G20)</f>
        <v/>
      </c>
      <c r="P20">
        <f>SUM(H20:J20)</f>
        <v/>
      </c>
      <c r="Q20">
        <f>SUM(K20:M20)</f>
        <v/>
      </c>
      <c r="R20">
        <f>SUM(N20:O20)</f>
        <v/>
      </c>
      <c r="S20">
        <f>SUM(P20:Q20)</f>
        <v/>
      </c>
      <c r="T20">
        <f>R20+S20</f>
        <v/>
      </c>
    </row>
    <row r="21">
      <c r="A21" t="inlineStr">
        <is>
          <t xml:space="preserve"> 원재료(LOSS_순연)</t>
        </is>
      </c>
      <c r="B21">
        <f>모티브!B15+고정형!B15+대리점!B15+차량oe!B15</f>
        <v/>
      </c>
      <c r="C21">
        <f>모티브!C15+고정형!C15+대리점!C15+차량oe!C15</f>
        <v/>
      </c>
      <c r="D21">
        <f>모티브!D15+고정형!D15+대리점!D15+차량oe!D15</f>
        <v/>
      </c>
      <c r="E21">
        <f>모티브!E15+고정형!E15+대리점!E15+차량oe!E15</f>
        <v/>
      </c>
      <c r="F21">
        <f>모티브!F15+고정형!F15+대리점!F15+차량oe!F15</f>
        <v/>
      </c>
      <c r="G21">
        <f>모티브!G15+고정형!G15+대리점!G15+차량oe!G15</f>
        <v/>
      </c>
      <c r="H21">
        <f>모티브!H15+고정형!H15+대리점!H15+차량oe!H15</f>
        <v/>
      </c>
      <c r="I21">
        <f>모티브!I15+고정형!I15+대리점!I15+차량oe!I15</f>
        <v/>
      </c>
      <c r="J21">
        <f>모티브!J15+고정형!J15+대리점!J15+차량oe!J15</f>
        <v/>
      </c>
      <c r="K21">
        <f>모티브!K15+고정형!K15+대리점!K15+차량oe!K15</f>
        <v/>
      </c>
      <c r="L21">
        <f>모티브!L15+고정형!L15+대리점!L15+차량oe!L15</f>
        <v/>
      </c>
      <c r="M21">
        <f>모티브!M15+고정형!M15+대리점!M15+차량oe!M15</f>
        <v/>
      </c>
      <c r="N21">
        <f>SUM(B21:D21)</f>
        <v/>
      </c>
      <c r="O21">
        <f>SUM(E21:G21)</f>
        <v/>
      </c>
      <c r="P21">
        <f>SUM(H21:J21)</f>
        <v/>
      </c>
      <c r="Q21">
        <f>SUM(K21:M21)</f>
        <v/>
      </c>
      <c r="R21">
        <f>SUM(N21:O21)</f>
        <v/>
      </c>
      <c r="S21">
        <f>SUM(P21:Q21)</f>
        <v/>
      </c>
      <c r="T21">
        <f>R21+S21</f>
        <v/>
      </c>
    </row>
    <row r="22">
      <c r="A22" t="inlineStr">
        <is>
          <t xml:space="preserve"> 원재료비_경연</t>
        </is>
      </c>
      <c r="B22">
        <f>모티브!B16+고정형!B16+대리점!B16+차량oe!B16</f>
        <v/>
      </c>
      <c r="C22">
        <f>모티브!C16+고정형!C16+대리점!C16+차량oe!C16</f>
        <v/>
      </c>
      <c r="D22">
        <f>모티브!D16+고정형!D16+대리점!D16+차량oe!D16</f>
        <v/>
      </c>
      <c r="E22">
        <f>모티브!E16+고정형!E16+대리점!E16+차량oe!E16</f>
        <v/>
      </c>
      <c r="F22">
        <f>모티브!F16+고정형!F16+대리점!F16+차량oe!F16</f>
        <v/>
      </c>
      <c r="G22">
        <f>모티브!G16+고정형!G16+대리점!G16+차량oe!G16</f>
        <v/>
      </c>
      <c r="H22">
        <f>모티브!H16+고정형!H16+대리점!H16+차량oe!H16</f>
        <v/>
      </c>
      <c r="I22">
        <f>모티브!I16+고정형!I16+대리점!I16+차량oe!I16</f>
        <v/>
      </c>
      <c r="J22">
        <f>모티브!J16+고정형!J16+대리점!J16+차량oe!J16</f>
        <v/>
      </c>
      <c r="K22">
        <f>모티브!K16+고정형!K16+대리점!K16+차량oe!K16</f>
        <v/>
      </c>
      <c r="L22">
        <f>모티브!L16+고정형!L16+대리점!L16+차량oe!L16</f>
        <v/>
      </c>
      <c r="M22">
        <f>모티브!M16+고정형!M16+대리점!M16+차량oe!M16</f>
        <v/>
      </c>
      <c r="N22">
        <f>SUM(B22:D22)</f>
        <v/>
      </c>
      <c r="O22">
        <f>SUM(E22:G22)</f>
        <v/>
      </c>
      <c r="P22">
        <f>SUM(H22:J22)</f>
        <v/>
      </c>
      <c r="Q22">
        <f>SUM(K22:M22)</f>
        <v/>
      </c>
      <c r="R22">
        <f>SUM(N22:O22)</f>
        <v/>
      </c>
      <c r="S22">
        <f>SUM(P22:Q22)</f>
        <v/>
      </c>
      <c r="T22">
        <f>R22+S22</f>
        <v/>
      </c>
    </row>
    <row r="23">
      <c r="A23" t="inlineStr">
        <is>
          <t xml:space="preserve"> 원재료(LOSS_경연)</t>
        </is>
      </c>
      <c r="B23">
        <f>모티브!B17+고정형!B17+대리점!B17+차량oe!B17</f>
        <v/>
      </c>
      <c r="C23">
        <f>모티브!C17+고정형!C17+대리점!C17+차량oe!C17</f>
        <v/>
      </c>
      <c r="D23">
        <f>모티브!D17+고정형!D17+대리점!D17+차량oe!D17</f>
        <v/>
      </c>
      <c r="E23">
        <f>모티브!E17+고정형!E17+대리점!E17+차량oe!E17</f>
        <v/>
      </c>
      <c r="F23">
        <f>모티브!F17+고정형!F17+대리점!F17+차량oe!F17</f>
        <v/>
      </c>
      <c r="G23">
        <f>모티브!G17+고정형!G17+대리점!G17+차량oe!G17</f>
        <v/>
      </c>
      <c r="H23">
        <f>모티브!H17+고정형!H17+대리점!H17+차량oe!H17</f>
        <v/>
      </c>
      <c r="I23">
        <f>모티브!I17+고정형!I17+대리점!I17+차량oe!I17</f>
        <v/>
      </c>
      <c r="J23">
        <f>모티브!J17+고정형!J17+대리점!J17+차량oe!J17</f>
        <v/>
      </c>
      <c r="K23">
        <f>모티브!K17+고정형!K17+대리점!K17+차량oe!K17</f>
        <v/>
      </c>
      <c r="L23">
        <f>모티브!L17+고정형!L17+대리점!L17+차량oe!L17</f>
        <v/>
      </c>
      <c r="M23">
        <f>모티브!M17+고정형!M17+대리점!M17+차량oe!M17</f>
        <v/>
      </c>
      <c r="N23">
        <f>SUM(B23:D23)</f>
        <v/>
      </c>
      <c r="O23">
        <f>SUM(E23:G23)</f>
        <v/>
      </c>
      <c r="P23">
        <f>SUM(H23:J23)</f>
        <v/>
      </c>
      <c r="Q23">
        <f>SUM(K23:M23)</f>
        <v/>
      </c>
      <c r="R23">
        <f>SUM(N23:O23)</f>
        <v/>
      </c>
      <c r="S23">
        <f>SUM(P23:Q23)</f>
        <v/>
      </c>
      <c r="T23">
        <f>R23+S23</f>
        <v/>
      </c>
    </row>
    <row r="24">
      <c r="A24" t="inlineStr">
        <is>
          <t xml:space="preserve"> 원재료비_칼슘연</t>
        </is>
      </c>
      <c r="B24">
        <f>모티브!B18+고정형!B18+대리점!B18+차량oe!B18</f>
        <v/>
      </c>
      <c r="C24">
        <f>모티브!C18+고정형!C18+대리점!C18+차량oe!C18</f>
        <v/>
      </c>
      <c r="D24">
        <f>모티브!D18+고정형!D18+대리점!D18+차량oe!D18</f>
        <v/>
      </c>
      <c r="E24">
        <f>모티브!E18+고정형!E18+대리점!E18+차량oe!E18</f>
        <v/>
      </c>
      <c r="F24">
        <f>모티브!F18+고정형!F18+대리점!F18+차량oe!F18</f>
        <v/>
      </c>
      <c r="G24">
        <f>모티브!G18+고정형!G18+대리점!G18+차량oe!G18</f>
        <v/>
      </c>
      <c r="H24">
        <f>모티브!H18+고정형!H18+대리점!H18+차량oe!H18</f>
        <v/>
      </c>
      <c r="I24">
        <f>모티브!I18+고정형!I18+대리점!I18+차량oe!I18</f>
        <v/>
      </c>
      <c r="J24">
        <f>모티브!J18+고정형!J18+대리점!J18+차량oe!J18</f>
        <v/>
      </c>
      <c r="K24">
        <f>모티브!K18+고정형!K18+대리점!K18+차량oe!K18</f>
        <v/>
      </c>
      <c r="L24">
        <f>모티브!L18+고정형!L18+대리점!L18+차량oe!L18</f>
        <v/>
      </c>
      <c r="M24">
        <f>모티브!M18+고정형!M18+대리점!M18+차량oe!M18</f>
        <v/>
      </c>
      <c r="N24">
        <f>SUM(B24:D24)</f>
        <v/>
      </c>
      <c r="O24">
        <f>SUM(E24:G24)</f>
        <v/>
      </c>
      <c r="P24">
        <f>SUM(H24:J24)</f>
        <v/>
      </c>
      <c r="Q24">
        <f>SUM(K24:M24)</f>
        <v/>
      </c>
      <c r="R24">
        <f>SUM(N24:O24)</f>
        <v/>
      </c>
      <c r="S24">
        <f>SUM(P24:Q24)</f>
        <v/>
      </c>
      <c r="T24">
        <f>R24+S24</f>
        <v/>
      </c>
    </row>
    <row r="25">
      <c r="A25" t="inlineStr">
        <is>
          <t xml:space="preserve"> 원재료(LOSS_칼슘연)</t>
        </is>
      </c>
      <c r="B25">
        <f>모티브!B19+고정형!B19+대리점!B19+차량oe!B19</f>
        <v/>
      </c>
      <c r="C25">
        <f>모티브!C19+고정형!C19+대리점!C19+차량oe!C19</f>
        <v/>
      </c>
      <c r="D25">
        <f>모티브!D19+고정형!D19+대리점!D19+차량oe!D19</f>
        <v/>
      </c>
      <c r="E25">
        <f>모티브!E19+고정형!E19+대리점!E19+차량oe!E19</f>
        <v/>
      </c>
      <c r="F25">
        <f>모티브!F19+고정형!F19+대리점!F19+차량oe!F19</f>
        <v/>
      </c>
      <c r="G25">
        <f>모티브!G19+고정형!G19+대리점!G19+차량oe!G19</f>
        <v/>
      </c>
      <c r="H25">
        <f>모티브!H19+고정형!H19+대리점!H19+차량oe!H19</f>
        <v/>
      </c>
      <c r="I25">
        <f>모티브!I19+고정형!I19+대리점!I19+차량oe!I19</f>
        <v/>
      </c>
      <c r="J25">
        <f>모티브!J19+고정형!J19+대리점!J19+차량oe!J19</f>
        <v/>
      </c>
      <c r="K25">
        <f>모티브!K19+고정형!K19+대리점!K19+차량oe!K19</f>
        <v/>
      </c>
      <c r="L25">
        <f>모티브!L19+고정형!L19+대리점!L19+차량oe!L19</f>
        <v/>
      </c>
      <c r="M25">
        <f>모티브!M19+고정형!M19+대리점!M19+차량oe!M19</f>
        <v/>
      </c>
      <c r="N25">
        <f>SUM(B25:D25)</f>
        <v/>
      </c>
      <c r="O25">
        <f>SUM(E25:G25)</f>
        <v/>
      </c>
      <c r="P25">
        <f>SUM(H25:J25)</f>
        <v/>
      </c>
      <c r="Q25">
        <f>SUM(K25:M25)</f>
        <v/>
      </c>
      <c r="R25">
        <f>SUM(N25:O25)</f>
        <v/>
      </c>
      <c r="S25">
        <f>SUM(P25:Q25)</f>
        <v/>
      </c>
      <c r="T25">
        <f>R25+S25</f>
        <v/>
      </c>
    </row>
    <row r="26">
      <c r="A26" t="inlineStr">
        <is>
          <t xml:space="preserve"> 원재료비_니켈(A)</t>
        </is>
      </c>
      <c r="B26">
        <f>모티브!B20+고정형!B20+대리점!B20+차량oe!B20</f>
        <v/>
      </c>
      <c r="C26">
        <f>모티브!C20+고정형!C20+대리점!C20+차량oe!C20</f>
        <v/>
      </c>
      <c r="D26">
        <f>모티브!D20+고정형!D20+대리점!D20+차량oe!D20</f>
        <v/>
      </c>
      <c r="E26">
        <f>모티브!E20+고정형!E20+대리점!E20+차량oe!E20</f>
        <v/>
      </c>
      <c r="F26">
        <f>모티브!F20+고정형!F20+대리점!F20+차량oe!F20</f>
        <v/>
      </c>
      <c r="G26">
        <f>모티브!G20+고정형!G20+대리점!G20+차량oe!G20</f>
        <v/>
      </c>
      <c r="H26">
        <f>모티브!H20+고정형!H20+대리점!H20+차량oe!H20</f>
        <v/>
      </c>
      <c r="I26">
        <f>모티브!I20+고정형!I20+대리점!I20+차량oe!I20</f>
        <v/>
      </c>
      <c r="J26">
        <f>모티브!J20+고정형!J20+대리점!J20+차량oe!J20</f>
        <v/>
      </c>
      <c r="K26">
        <f>모티브!K20+고정형!K20+대리점!K20+차량oe!K20</f>
        <v/>
      </c>
      <c r="L26">
        <f>모티브!L20+고정형!L20+대리점!L20+차량oe!L20</f>
        <v/>
      </c>
      <c r="M26">
        <f>모티브!M20+고정형!M20+대리점!M20+차량oe!M20</f>
        <v/>
      </c>
      <c r="N26">
        <f>SUM(B26:D26)</f>
        <v/>
      </c>
      <c r="O26">
        <f>SUM(E26:G26)</f>
        <v/>
      </c>
      <c r="P26">
        <f>SUM(H26:J26)</f>
        <v/>
      </c>
      <c r="Q26">
        <f>SUM(K26:M26)</f>
        <v/>
      </c>
      <c r="R26">
        <f>SUM(N26:O26)</f>
        <v/>
      </c>
      <c r="S26">
        <f>SUM(P26:Q26)</f>
        <v/>
      </c>
      <c r="T26">
        <f>R26+S26</f>
        <v/>
      </c>
    </row>
    <row r="27">
      <c r="A27" t="inlineStr">
        <is>
          <t xml:space="preserve"> 원재료비_리튬(A)</t>
        </is>
      </c>
      <c r="B27">
        <f>모티브!B21+고정형!B21+대리점!B21+차량oe!B21</f>
        <v/>
      </c>
      <c r="C27">
        <f>모티브!C21+고정형!C21+대리점!C21+차량oe!C21</f>
        <v/>
      </c>
      <c r="D27">
        <f>모티브!D21+고정형!D21+대리점!D21+차량oe!D21</f>
        <v/>
      </c>
      <c r="E27">
        <f>모티브!E21+고정형!E21+대리점!E21+차량oe!E21</f>
        <v/>
      </c>
      <c r="F27">
        <f>모티브!F21+고정형!F21+대리점!F21+차량oe!F21</f>
        <v/>
      </c>
      <c r="G27">
        <f>모티브!G21+고정형!G21+대리점!G21+차량oe!G21</f>
        <v/>
      </c>
      <c r="H27">
        <f>모티브!H21+고정형!H21+대리점!H21+차량oe!H21</f>
        <v/>
      </c>
      <c r="I27">
        <f>모티브!I21+고정형!I21+대리점!I21+차량oe!I21</f>
        <v/>
      </c>
      <c r="J27">
        <f>모티브!J21+고정형!J21+대리점!J21+차량oe!J21</f>
        <v/>
      </c>
      <c r="K27">
        <f>모티브!K21+고정형!K21+대리점!K21+차량oe!K21</f>
        <v/>
      </c>
      <c r="L27">
        <f>모티브!L21+고정형!L21+대리점!L21+차량oe!L21</f>
        <v/>
      </c>
      <c r="M27">
        <f>모티브!M21+고정형!M21+대리점!M21+차량oe!M21</f>
        <v/>
      </c>
      <c r="N27">
        <f>SUM(B27:D27)</f>
        <v/>
      </c>
      <c r="O27">
        <f>SUM(E27:G27)</f>
        <v/>
      </c>
      <c r="P27">
        <f>SUM(H27:J27)</f>
        <v/>
      </c>
      <c r="Q27">
        <f>SUM(K27:M27)</f>
        <v/>
      </c>
      <c r="R27">
        <f>SUM(N27:O27)</f>
        <v/>
      </c>
      <c r="S27">
        <f>SUM(P27:Q27)</f>
        <v/>
      </c>
      <c r="T27">
        <f>R27+S27</f>
        <v/>
      </c>
    </row>
    <row r="28">
      <c r="A28" t="inlineStr">
        <is>
          <t xml:space="preserve"> 주재료비_전조(A)</t>
        </is>
      </c>
      <c r="B28">
        <f>모티브!B22+고정형!B22+대리점!B22+차량oe!B22</f>
        <v/>
      </c>
      <c r="C28">
        <f>모티브!C22+고정형!C22+대리점!C22+차량oe!C22</f>
        <v/>
      </c>
      <c r="D28">
        <f>모티브!D22+고정형!D22+대리점!D22+차량oe!D22</f>
        <v/>
      </c>
      <c r="E28">
        <f>모티브!E22+고정형!E22+대리점!E22+차량oe!E22</f>
        <v/>
      </c>
      <c r="F28">
        <f>모티브!F22+고정형!F22+대리점!F22+차량oe!F22</f>
        <v/>
      </c>
      <c r="G28">
        <f>모티브!G22+고정형!G22+대리점!G22+차량oe!G22</f>
        <v/>
      </c>
      <c r="H28">
        <f>모티브!H22+고정형!H22+대리점!H22+차량oe!H22</f>
        <v/>
      </c>
      <c r="I28">
        <f>모티브!I22+고정형!I22+대리점!I22+차량oe!I22</f>
        <v/>
      </c>
      <c r="J28">
        <f>모티브!J22+고정형!J22+대리점!J22+차량oe!J22</f>
        <v/>
      </c>
      <c r="K28">
        <f>모티브!K22+고정형!K22+대리점!K22+차량oe!K22</f>
        <v/>
      </c>
      <c r="L28">
        <f>모티브!L22+고정형!L22+대리점!L22+차량oe!L22</f>
        <v/>
      </c>
      <c r="M28">
        <f>모티브!M22+고정형!M22+대리점!M22+차량oe!M22</f>
        <v/>
      </c>
      <c r="N28">
        <f>SUM(B28:D28)</f>
        <v/>
      </c>
      <c r="O28">
        <f>SUM(E28:G28)</f>
        <v/>
      </c>
      <c r="P28">
        <f>SUM(H28:J28)</f>
        <v/>
      </c>
      <c r="Q28">
        <f>SUM(K28:M28)</f>
        <v/>
      </c>
      <c r="R28">
        <f>SUM(N28:O28)</f>
        <v/>
      </c>
      <c r="S28">
        <f>SUM(P28:Q28)</f>
        <v/>
      </c>
      <c r="T28">
        <f>R28+S28</f>
        <v/>
      </c>
    </row>
    <row r="29">
      <c r="A29" t="inlineStr">
        <is>
          <t xml:space="preserve"> 주재료비_카바(A)</t>
        </is>
      </c>
      <c r="B29">
        <f>모티브!B23+고정형!B23+대리점!B23+차량oe!B23</f>
        <v/>
      </c>
      <c r="C29">
        <f>모티브!C23+고정형!C23+대리점!C23+차량oe!C23</f>
        <v/>
      </c>
      <c r="D29">
        <f>모티브!D23+고정형!D23+대리점!D23+차량oe!D23</f>
        <v/>
      </c>
      <c r="E29">
        <f>모티브!E23+고정형!E23+대리점!E23+차량oe!E23</f>
        <v/>
      </c>
      <c r="F29">
        <f>모티브!F23+고정형!F23+대리점!F23+차량oe!F23</f>
        <v/>
      </c>
      <c r="G29">
        <f>모티브!G23+고정형!G23+대리점!G23+차량oe!G23</f>
        <v/>
      </c>
      <c r="H29">
        <f>모티브!H23+고정형!H23+대리점!H23+차량oe!H23</f>
        <v/>
      </c>
      <c r="I29">
        <f>모티브!I23+고정형!I23+대리점!I23+차량oe!I23</f>
        <v/>
      </c>
      <c r="J29">
        <f>모티브!J23+고정형!J23+대리점!J23+차량oe!J23</f>
        <v/>
      </c>
      <c r="K29">
        <f>모티브!K23+고정형!K23+대리점!K23+차량oe!K23</f>
        <v/>
      </c>
      <c r="L29">
        <f>모티브!L23+고정형!L23+대리점!L23+차량oe!L23</f>
        <v/>
      </c>
      <c r="M29">
        <f>모티브!M23+고정형!M23+대리점!M23+차량oe!M23</f>
        <v/>
      </c>
      <c r="N29">
        <f>SUM(B29:D29)</f>
        <v/>
      </c>
      <c r="O29">
        <f>SUM(E29:G29)</f>
        <v/>
      </c>
      <c r="P29">
        <f>SUM(H29:J29)</f>
        <v/>
      </c>
      <c r="Q29">
        <f>SUM(K29:M29)</f>
        <v/>
      </c>
      <c r="R29">
        <f>SUM(N29:O29)</f>
        <v/>
      </c>
      <c r="S29">
        <f>SUM(P29:Q29)</f>
        <v/>
      </c>
      <c r="T29">
        <f>R29+S29</f>
        <v/>
      </c>
    </row>
    <row r="30">
      <c r="A30" t="inlineStr">
        <is>
          <t xml:space="preserve"> 주재료비_격리판(A</t>
        </is>
      </c>
      <c r="B30">
        <f>모티브!B24+고정형!B24+대리점!B24+차량oe!B24</f>
        <v/>
      </c>
      <c r="C30">
        <f>모티브!C24+고정형!C24+대리점!C24+차량oe!C24</f>
        <v/>
      </c>
      <c r="D30">
        <f>모티브!D24+고정형!D24+대리점!D24+차량oe!D24</f>
        <v/>
      </c>
      <c r="E30">
        <f>모티브!E24+고정형!E24+대리점!E24+차량oe!E24</f>
        <v/>
      </c>
      <c r="F30">
        <f>모티브!F24+고정형!F24+대리점!F24+차량oe!F24</f>
        <v/>
      </c>
      <c r="G30">
        <f>모티브!G24+고정형!G24+대리점!G24+차량oe!G24</f>
        <v/>
      </c>
      <c r="H30">
        <f>모티브!H24+고정형!H24+대리점!H24+차량oe!H24</f>
        <v/>
      </c>
      <c r="I30">
        <f>모티브!I24+고정형!I24+대리점!I24+차량oe!I24</f>
        <v/>
      </c>
      <c r="J30">
        <f>모티브!J24+고정형!J24+대리점!J24+차량oe!J24</f>
        <v/>
      </c>
      <c r="K30">
        <f>모티브!K24+고정형!K24+대리점!K24+차량oe!K24</f>
        <v/>
      </c>
      <c r="L30">
        <f>모티브!L24+고정형!L24+대리점!L24+차량oe!L24</f>
        <v/>
      </c>
      <c r="M30">
        <f>모티브!M24+고정형!M24+대리점!M24+차량oe!M24</f>
        <v/>
      </c>
      <c r="N30">
        <f>SUM(B30:D30)</f>
        <v/>
      </c>
      <c r="O30">
        <f>SUM(E30:G30)</f>
        <v/>
      </c>
      <c r="P30">
        <f>SUM(H30:J30)</f>
        <v/>
      </c>
      <c r="Q30">
        <f>SUM(K30:M30)</f>
        <v/>
      </c>
      <c r="R30">
        <f>SUM(N30:O30)</f>
        <v/>
      </c>
      <c r="S30">
        <f>SUM(P30:Q30)</f>
        <v/>
      </c>
      <c r="T30">
        <f>R30+S30</f>
        <v/>
      </c>
    </row>
    <row r="31">
      <c r="A31" t="inlineStr">
        <is>
          <t xml:space="preserve"> 부재료비(A)</t>
        </is>
      </c>
      <c r="B31">
        <f>모티브!B25+고정형!B25+대리점!B25+차량oe!B25</f>
        <v/>
      </c>
      <c r="C31">
        <f>모티브!C25+고정형!C25+대리점!C25+차량oe!C25</f>
        <v/>
      </c>
      <c r="D31">
        <f>모티브!D25+고정형!D25+대리점!D25+차량oe!D25</f>
        <v/>
      </c>
      <c r="E31">
        <f>모티브!E25+고정형!E25+대리점!E25+차량oe!E25</f>
        <v/>
      </c>
      <c r="F31">
        <f>모티브!F25+고정형!F25+대리점!F25+차량oe!F25</f>
        <v/>
      </c>
      <c r="G31">
        <f>모티브!G25+고정형!G25+대리점!G25+차량oe!G25</f>
        <v/>
      </c>
      <c r="H31">
        <f>모티브!H25+고정형!H25+대리점!H25+차량oe!H25</f>
        <v/>
      </c>
      <c r="I31">
        <f>모티브!I25+고정형!I25+대리점!I25+차량oe!I25</f>
        <v/>
      </c>
      <c r="J31">
        <f>모티브!J25+고정형!J25+대리점!J25+차량oe!J25</f>
        <v/>
      </c>
      <c r="K31">
        <f>모티브!K25+고정형!K25+대리점!K25+차량oe!K25</f>
        <v/>
      </c>
      <c r="L31">
        <f>모티브!L25+고정형!L25+대리점!L25+차량oe!L25</f>
        <v/>
      </c>
      <c r="M31">
        <f>모티브!M25+고정형!M25+대리점!M25+차량oe!M25</f>
        <v/>
      </c>
      <c r="N31">
        <f>SUM(B31:D31)</f>
        <v/>
      </c>
      <c r="O31">
        <f>SUM(E31:G31)</f>
        <v/>
      </c>
      <c r="P31">
        <f>SUM(H31:J31)</f>
        <v/>
      </c>
      <c r="Q31">
        <f>SUM(K31:M31)</f>
        <v/>
      </c>
      <c r="R31">
        <f>SUM(N31:O31)</f>
        <v/>
      </c>
      <c r="S31">
        <f>SUM(P31:Q31)</f>
        <v/>
      </c>
      <c r="T31">
        <f>R31+S31</f>
        <v/>
      </c>
    </row>
    <row r="32">
      <c r="A32" t="inlineStr">
        <is>
          <t xml:space="preserve"> 포장비(A)</t>
        </is>
      </c>
      <c r="B32">
        <f>모티브!B26+고정형!B26+대리점!B26+차량oe!B26</f>
        <v/>
      </c>
      <c r="C32">
        <f>모티브!C26+고정형!C26+대리점!C26+차량oe!C26</f>
        <v/>
      </c>
      <c r="D32">
        <f>모티브!D26+고정형!D26+대리점!D26+차량oe!D26</f>
        <v/>
      </c>
      <c r="E32">
        <f>모티브!E26+고정형!E26+대리점!E26+차량oe!E26</f>
        <v/>
      </c>
      <c r="F32">
        <f>모티브!F26+고정형!F26+대리점!F26+차량oe!F26</f>
        <v/>
      </c>
      <c r="G32">
        <f>모티브!G26+고정형!G26+대리점!G26+차량oe!G26</f>
        <v/>
      </c>
      <c r="H32">
        <f>모티브!H26+고정형!H26+대리점!H26+차량oe!H26</f>
        <v/>
      </c>
      <c r="I32">
        <f>모티브!I26+고정형!I26+대리점!I26+차량oe!I26</f>
        <v/>
      </c>
      <c r="J32">
        <f>모티브!J26+고정형!J26+대리점!J26+차량oe!J26</f>
        <v/>
      </c>
      <c r="K32">
        <f>모티브!K26+고정형!K26+대리점!K26+차량oe!K26</f>
        <v/>
      </c>
      <c r="L32">
        <f>모티브!L26+고정형!L26+대리점!L26+차량oe!L26</f>
        <v/>
      </c>
      <c r="M32">
        <f>모티브!M26+고정형!M26+대리점!M26+차량oe!M26</f>
        <v/>
      </c>
      <c r="N32">
        <f>SUM(B32:D32)</f>
        <v/>
      </c>
      <c r="O32">
        <f>SUM(E32:G32)</f>
        <v/>
      </c>
      <c r="P32">
        <f>SUM(H32:J32)</f>
        <v/>
      </c>
      <c r="Q32">
        <f>SUM(K32:M32)</f>
        <v/>
      </c>
      <c r="R32">
        <f>SUM(N32:O32)</f>
        <v/>
      </c>
      <c r="S32">
        <f>SUM(P32:Q32)</f>
        <v/>
      </c>
      <c r="T32">
        <f>R32+S32</f>
        <v/>
      </c>
    </row>
    <row r="33">
      <c r="A33" t="inlineStr">
        <is>
          <t xml:space="preserve"> 부대품재료비(A)</t>
        </is>
      </c>
      <c r="B33">
        <f>모티브!B27+고정형!B27+대리점!B27+차량oe!B27</f>
        <v/>
      </c>
      <c r="C33">
        <f>모티브!C27+고정형!C27+대리점!C27+차량oe!C27</f>
        <v/>
      </c>
      <c r="D33">
        <f>모티브!D27+고정형!D27+대리점!D27+차량oe!D27</f>
        <v/>
      </c>
      <c r="E33">
        <f>모티브!E27+고정형!E27+대리점!E27+차량oe!E27</f>
        <v/>
      </c>
      <c r="F33">
        <f>모티브!F27+고정형!F27+대리점!F27+차량oe!F27</f>
        <v/>
      </c>
      <c r="G33">
        <f>모티브!G27+고정형!G27+대리점!G27+차량oe!G27</f>
        <v/>
      </c>
      <c r="H33">
        <f>모티브!H27+고정형!H27+대리점!H27+차량oe!H27</f>
        <v/>
      </c>
      <c r="I33">
        <f>모티브!I27+고정형!I27+대리점!I27+차량oe!I27</f>
        <v/>
      </c>
      <c r="J33">
        <f>모티브!J27+고정형!J27+대리점!J27+차량oe!J27</f>
        <v/>
      </c>
      <c r="K33">
        <f>모티브!K27+고정형!K27+대리점!K27+차량oe!K27</f>
        <v/>
      </c>
      <c r="L33">
        <f>모티브!L27+고정형!L27+대리점!L27+차량oe!L27</f>
        <v/>
      </c>
      <c r="M33">
        <f>모티브!M27+고정형!M27+대리점!M27+차량oe!M27</f>
        <v/>
      </c>
      <c r="N33">
        <f>SUM(B33:D33)</f>
        <v/>
      </c>
      <c r="O33">
        <f>SUM(E33:G33)</f>
        <v/>
      </c>
      <c r="P33">
        <f>SUM(H33:J33)</f>
        <v/>
      </c>
      <c r="Q33">
        <f>SUM(K33:M33)</f>
        <v/>
      </c>
      <c r="R33">
        <f>SUM(N33:O33)</f>
        <v/>
      </c>
      <c r="S33">
        <f>SUM(P33:Q33)</f>
        <v/>
      </c>
      <c r="T33">
        <f>R33+S33</f>
        <v/>
      </c>
    </row>
    <row r="34">
      <c r="A34" t="inlineStr">
        <is>
          <t xml:space="preserve"> 부산물공제(A)</t>
        </is>
      </c>
      <c r="B34">
        <f>모티브!B28+고정형!B28+대리점!B28+차량oe!B28</f>
        <v/>
      </c>
      <c r="C34">
        <f>모티브!C28+고정형!C28+대리점!C28+차량oe!C28</f>
        <v/>
      </c>
      <c r="D34">
        <f>모티브!D28+고정형!D28+대리점!D28+차량oe!D28</f>
        <v/>
      </c>
      <c r="E34">
        <f>모티브!E28+고정형!E28+대리점!E28+차량oe!E28</f>
        <v/>
      </c>
      <c r="F34">
        <f>모티브!F28+고정형!F28+대리점!F28+차량oe!F28</f>
        <v/>
      </c>
      <c r="G34">
        <f>모티브!G28+고정형!G28+대리점!G28+차량oe!G28</f>
        <v/>
      </c>
      <c r="H34">
        <f>모티브!H28+고정형!H28+대리점!H28+차량oe!H28</f>
        <v/>
      </c>
      <c r="I34">
        <f>모티브!I28+고정형!I28+대리점!I28+차량oe!I28</f>
        <v/>
      </c>
      <c r="J34">
        <f>모티브!J28+고정형!J28+대리점!J28+차량oe!J28</f>
        <v/>
      </c>
      <c r="K34">
        <f>모티브!K28+고정형!K28+대리점!K28+차량oe!K28</f>
        <v/>
      </c>
      <c r="L34">
        <f>모티브!L28+고정형!L28+대리점!L28+차량oe!L28</f>
        <v/>
      </c>
      <c r="M34">
        <f>모티브!M28+고정형!M28+대리점!M28+차량oe!M28</f>
        <v/>
      </c>
      <c r="N34">
        <f>SUM(B34:D34)</f>
        <v/>
      </c>
      <c r="O34">
        <f>SUM(E34:G34)</f>
        <v/>
      </c>
      <c r="P34">
        <f>SUM(H34:J34)</f>
        <v/>
      </c>
      <c r="Q34">
        <f>SUM(K34:M34)</f>
        <v/>
      </c>
      <c r="R34">
        <f>SUM(N34:O34)</f>
        <v/>
      </c>
      <c r="S34">
        <f>SUM(P34:Q34)</f>
        <v/>
      </c>
      <c r="T34">
        <f>R34+S34</f>
        <v/>
      </c>
    </row>
    <row r="35">
      <c r="A35" t="inlineStr">
        <is>
          <t xml:space="preserve"> 변동직접노무비(A)</t>
        </is>
      </c>
      <c r="B35">
        <f>모티브!B29+고정형!B29+대리점!B29+차량oe!B29</f>
        <v/>
      </c>
      <c r="C35">
        <f>모티브!C29+고정형!C29+대리점!C29+차량oe!C29</f>
        <v/>
      </c>
      <c r="D35">
        <f>모티브!D29+고정형!D29+대리점!D29+차량oe!D29</f>
        <v/>
      </c>
      <c r="E35">
        <f>모티브!E29+고정형!E29+대리점!E29+차량oe!E29</f>
        <v/>
      </c>
      <c r="F35">
        <f>모티브!F29+고정형!F29+대리점!F29+차량oe!F29</f>
        <v/>
      </c>
      <c r="G35">
        <f>모티브!G29+고정형!G29+대리점!G29+차량oe!G29</f>
        <v/>
      </c>
      <c r="H35">
        <f>모티브!H29+고정형!H29+대리점!H29+차량oe!H29</f>
        <v/>
      </c>
      <c r="I35">
        <f>모티브!I29+고정형!I29+대리점!I29+차량oe!I29</f>
        <v/>
      </c>
      <c r="J35">
        <f>모티브!J29+고정형!J29+대리점!J29+차량oe!J29</f>
        <v/>
      </c>
      <c r="K35">
        <f>모티브!K29+고정형!K29+대리점!K29+차량oe!K29</f>
        <v/>
      </c>
      <c r="L35">
        <f>모티브!L29+고정형!L29+대리점!L29+차량oe!L29</f>
        <v/>
      </c>
      <c r="M35">
        <f>모티브!M29+고정형!M29+대리점!M29+차량oe!M29</f>
        <v/>
      </c>
      <c r="N35">
        <f>SUM(B35:D35)</f>
        <v/>
      </c>
      <c r="O35">
        <f>SUM(E35:G35)</f>
        <v/>
      </c>
      <c r="P35">
        <f>SUM(H35:J35)</f>
        <v/>
      </c>
      <c r="Q35">
        <f>SUM(K35:M35)</f>
        <v/>
      </c>
      <c r="R35">
        <f>SUM(N35:O35)</f>
        <v/>
      </c>
      <c r="S35">
        <f>SUM(P35:Q35)</f>
        <v/>
      </c>
      <c r="T35">
        <f>R35+S35</f>
        <v/>
      </c>
    </row>
    <row r="36">
      <c r="A36" t="inlineStr">
        <is>
          <t xml:space="preserve"> 변동경비(A)</t>
        </is>
      </c>
      <c r="B36">
        <f>모티브!B30+고정형!B30+대리점!B30+차량oe!B30</f>
        <v/>
      </c>
      <c r="C36">
        <f>모티브!C30+고정형!C30+대리점!C30+차량oe!C30</f>
        <v/>
      </c>
      <c r="D36">
        <f>모티브!D30+고정형!D30+대리점!D30+차량oe!D30</f>
        <v/>
      </c>
      <c r="E36">
        <f>모티브!E30+고정형!E30+대리점!E30+차량oe!E30</f>
        <v/>
      </c>
      <c r="F36">
        <f>모티브!F30+고정형!F30+대리점!F30+차량oe!F30</f>
        <v/>
      </c>
      <c r="G36">
        <f>모티브!G30+고정형!G30+대리점!G30+차량oe!G30</f>
        <v/>
      </c>
      <c r="H36">
        <f>모티브!H30+고정형!H30+대리점!H30+차량oe!H30</f>
        <v/>
      </c>
      <c r="I36">
        <f>모티브!I30+고정형!I30+대리점!I30+차량oe!I30</f>
        <v/>
      </c>
      <c r="J36">
        <f>모티브!J30+고정형!J30+대리점!J30+차량oe!J30</f>
        <v/>
      </c>
      <c r="K36">
        <f>모티브!K30+고정형!K30+대리점!K30+차량oe!K30</f>
        <v/>
      </c>
      <c r="L36">
        <f>모티브!L30+고정형!L30+대리점!L30+차량oe!L30</f>
        <v/>
      </c>
      <c r="M36">
        <f>모티브!M30+고정형!M30+대리점!M30+차량oe!M30</f>
        <v/>
      </c>
      <c r="N36">
        <f>SUM(B36:D36)</f>
        <v/>
      </c>
      <c r="O36">
        <f>SUM(E36:G36)</f>
        <v/>
      </c>
      <c r="P36">
        <f>SUM(H36:J36)</f>
        <v/>
      </c>
      <c r="Q36">
        <f>SUM(K36:M36)</f>
        <v/>
      </c>
      <c r="R36">
        <f>SUM(N36:O36)</f>
        <v/>
      </c>
      <c r="S36">
        <f>SUM(P36:Q36)</f>
        <v/>
      </c>
      <c r="T36">
        <f>R36+S36</f>
        <v/>
      </c>
    </row>
    <row r="37">
      <c r="A37" t="inlineStr">
        <is>
          <t xml:space="preserve"> 고정직접노무비(A)</t>
        </is>
      </c>
      <c r="B37">
        <f>모티브!B31+고정형!B31+대리점!B31+차량oe!B31</f>
        <v/>
      </c>
      <c r="C37">
        <f>모티브!C31+고정형!C31+대리점!C31+차량oe!C31</f>
        <v/>
      </c>
      <c r="D37">
        <f>모티브!D31+고정형!D31+대리점!D31+차량oe!D31</f>
        <v/>
      </c>
      <c r="E37">
        <f>모티브!E31+고정형!E31+대리점!E31+차량oe!E31</f>
        <v/>
      </c>
      <c r="F37">
        <f>모티브!F31+고정형!F31+대리점!F31+차량oe!F31</f>
        <v/>
      </c>
      <c r="G37">
        <f>모티브!G31+고정형!G31+대리점!G31+차량oe!G31</f>
        <v/>
      </c>
      <c r="H37">
        <f>모티브!H31+고정형!H31+대리점!H31+차량oe!H31</f>
        <v/>
      </c>
      <c r="I37">
        <f>모티브!I31+고정형!I31+대리점!I31+차량oe!I31</f>
        <v/>
      </c>
      <c r="J37">
        <f>모티브!J31+고정형!J31+대리점!J31+차량oe!J31</f>
        <v/>
      </c>
      <c r="K37">
        <f>모티브!K31+고정형!K31+대리점!K31+차량oe!K31</f>
        <v/>
      </c>
      <c r="L37">
        <f>모티브!L31+고정형!L31+대리점!L31+차량oe!L31</f>
        <v/>
      </c>
      <c r="M37">
        <f>모티브!M31+고정형!M31+대리점!M31+차량oe!M31</f>
        <v/>
      </c>
      <c r="N37">
        <f>SUM(B37:D37)</f>
        <v/>
      </c>
      <c r="O37">
        <f>SUM(E37:G37)</f>
        <v/>
      </c>
      <c r="P37">
        <f>SUM(H37:J37)</f>
        <v/>
      </c>
      <c r="Q37">
        <f>SUM(K37:M37)</f>
        <v/>
      </c>
      <c r="R37">
        <f>SUM(N37:O37)</f>
        <v/>
      </c>
      <c r="S37">
        <f>SUM(P37:Q37)</f>
        <v/>
      </c>
      <c r="T37">
        <f>R37+S37</f>
        <v/>
      </c>
    </row>
    <row r="38">
      <c r="A38" t="inlineStr">
        <is>
          <t xml:space="preserve"> 간접노무비(A)</t>
        </is>
      </c>
      <c r="B38">
        <f>모티브!B32+고정형!B32+대리점!B32+차량oe!B32</f>
        <v/>
      </c>
      <c r="C38">
        <f>모티브!C32+고정형!C32+대리점!C32+차량oe!C32</f>
        <v/>
      </c>
      <c r="D38">
        <f>모티브!D32+고정형!D32+대리점!D32+차량oe!D32</f>
        <v/>
      </c>
      <c r="E38">
        <f>모티브!E32+고정형!E32+대리점!E32+차량oe!E32</f>
        <v/>
      </c>
      <c r="F38">
        <f>모티브!F32+고정형!F32+대리점!F32+차량oe!F32</f>
        <v/>
      </c>
      <c r="G38">
        <f>모티브!G32+고정형!G32+대리점!G32+차량oe!G32</f>
        <v/>
      </c>
      <c r="H38">
        <f>모티브!H32+고정형!H32+대리점!H32+차량oe!H32</f>
        <v/>
      </c>
      <c r="I38">
        <f>모티브!I32+고정형!I32+대리점!I32+차량oe!I32</f>
        <v/>
      </c>
      <c r="J38">
        <f>모티브!J32+고정형!J32+대리점!J32+차량oe!J32</f>
        <v/>
      </c>
      <c r="K38">
        <f>모티브!K32+고정형!K32+대리점!K32+차량oe!K32</f>
        <v/>
      </c>
      <c r="L38">
        <f>모티브!L32+고정형!L32+대리점!L32+차량oe!L32</f>
        <v/>
      </c>
      <c r="M38">
        <f>모티브!M32+고정형!M32+대리점!M32+차량oe!M32</f>
        <v/>
      </c>
      <c r="N38">
        <f>SUM(B38:D38)</f>
        <v/>
      </c>
      <c r="O38">
        <f>SUM(E38:G38)</f>
        <v/>
      </c>
      <c r="P38">
        <f>SUM(H38:J38)</f>
        <v/>
      </c>
      <c r="Q38">
        <f>SUM(K38:M38)</f>
        <v/>
      </c>
      <c r="R38">
        <f>SUM(N38:O38)</f>
        <v/>
      </c>
      <c r="S38">
        <f>SUM(P38:Q38)</f>
        <v/>
      </c>
      <c r="T38">
        <f>R38+S38</f>
        <v/>
      </c>
    </row>
    <row r="39">
      <c r="A39" t="inlineStr">
        <is>
          <t xml:space="preserve"> 고정경비(A)</t>
        </is>
      </c>
      <c r="B39">
        <f>모티브!B33+고정형!B33+대리점!B33+차량oe!B33</f>
        <v/>
      </c>
      <c r="C39">
        <f>모티브!C33+고정형!C33+대리점!C33+차량oe!C33</f>
        <v/>
      </c>
      <c r="D39">
        <f>모티브!D33+고정형!D33+대리점!D33+차량oe!D33</f>
        <v/>
      </c>
      <c r="E39">
        <f>모티브!E33+고정형!E33+대리점!E33+차량oe!E33</f>
        <v/>
      </c>
      <c r="F39">
        <f>모티브!F33+고정형!F33+대리점!F33+차량oe!F33</f>
        <v/>
      </c>
      <c r="G39">
        <f>모티브!G33+고정형!G33+대리점!G33+차량oe!G33</f>
        <v/>
      </c>
      <c r="H39">
        <f>모티브!H33+고정형!H33+대리점!H33+차량oe!H33</f>
        <v/>
      </c>
      <c r="I39">
        <f>모티브!I33+고정형!I33+대리점!I33+차량oe!I33</f>
        <v/>
      </c>
      <c r="J39">
        <f>모티브!J33+고정형!J33+대리점!J33+차량oe!J33</f>
        <v/>
      </c>
      <c r="K39">
        <f>모티브!K33+고정형!K33+대리점!K33+차량oe!K33</f>
        <v/>
      </c>
      <c r="L39">
        <f>모티브!L33+고정형!L33+대리점!L33+차량oe!L33</f>
        <v/>
      </c>
      <c r="M39">
        <f>모티브!M33+고정형!M33+대리점!M33+차량oe!M33</f>
        <v/>
      </c>
      <c r="N39">
        <f>SUM(B39:D39)</f>
        <v/>
      </c>
      <c r="O39">
        <f>SUM(E39:G39)</f>
        <v/>
      </c>
      <c r="P39">
        <f>SUM(H39:J39)</f>
        <v/>
      </c>
      <c r="Q39">
        <f>SUM(K39:M39)</f>
        <v/>
      </c>
      <c r="R39">
        <f>SUM(N39:O39)</f>
        <v/>
      </c>
      <c r="S39">
        <f>SUM(P39:Q39)</f>
        <v/>
      </c>
      <c r="T39">
        <f>R39+S39</f>
        <v/>
      </c>
    </row>
    <row r="40">
      <c r="A40" t="inlineStr">
        <is>
          <t xml:space="preserve"> 외주가공비(A)</t>
        </is>
      </c>
      <c r="B40">
        <f>모티브!B34+고정형!B34+대리점!B34+차량oe!B34</f>
        <v/>
      </c>
      <c r="C40">
        <f>모티브!C34+고정형!C34+대리점!C34+차량oe!C34</f>
        <v/>
      </c>
      <c r="D40">
        <f>모티브!D34+고정형!D34+대리점!D34+차량oe!D34</f>
        <v/>
      </c>
      <c r="E40">
        <f>모티브!E34+고정형!E34+대리점!E34+차량oe!E34</f>
        <v/>
      </c>
      <c r="F40">
        <f>모티브!F34+고정형!F34+대리점!F34+차량oe!F34</f>
        <v/>
      </c>
      <c r="G40">
        <f>모티브!G34+고정형!G34+대리점!G34+차량oe!G34</f>
        <v/>
      </c>
      <c r="H40">
        <f>모티브!H34+고정형!H34+대리점!H34+차량oe!H34</f>
        <v/>
      </c>
      <c r="I40">
        <f>모티브!I34+고정형!I34+대리점!I34+차량oe!I34</f>
        <v/>
      </c>
      <c r="J40">
        <f>모티브!J34+고정형!J34+대리점!J34+차량oe!J34</f>
        <v/>
      </c>
      <c r="K40">
        <f>모티브!K34+고정형!K34+대리점!K34+차량oe!K34</f>
        <v/>
      </c>
      <c r="L40">
        <f>모티브!L34+고정형!L34+대리점!L34+차량oe!L34</f>
        <v/>
      </c>
      <c r="M40">
        <f>모티브!M34+고정형!M34+대리점!M34+차량oe!M34</f>
        <v/>
      </c>
      <c r="N40">
        <f>SUM(B40:D40)</f>
        <v/>
      </c>
      <c r="O40">
        <f>SUM(E40:G40)</f>
        <v/>
      </c>
      <c r="P40">
        <f>SUM(H40:J40)</f>
        <v/>
      </c>
      <c r="Q40">
        <f>SUM(K40:M40)</f>
        <v/>
      </c>
      <c r="R40">
        <f>SUM(N40:O40)</f>
        <v/>
      </c>
      <c r="S40">
        <f>SUM(P40:Q40)</f>
        <v/>
      </c>
      <c r="T40">
        <f>R40+S40</f>
        <v/>
      </c>
    </row>
    <row r="41">
      <c r="A41" t="inlineStr">
        <is>
          <t xml:space="preserve"> 원가절감(구매)</t>
        </is>
      </c>
      <c r="B41">
        <f>모티브!B35+고정형!B35+대리점!B35+차량oe!B35</f>
        <v/>
      </c>
      <c r="C41">
        <f>모티브!C35+고정형!C35+대리점!C35+차량oe!C35</f>
        <v/>
      </c>
      <c r="D41">
        <f>모티브!D35+고정형!D35+대리점!D35+차량oe!D35</f>
        <v/>
      </c>
      <c r="E41">
        <f>모티브!E35+고정형!E35+대리점!E35+차량oe!E35</f>
        <v/>
      </c>
      <c r="F41">
        <f>모티브!F35+고정형!F35+대리점!F35+차량oe!F35</f>
        <v/>
      </c>
      <c r="G41">
        <f>모티브!G35+고정형!G35+대리점!G35+차량oe!G35</f>
        <v/>
      </c>
      <c r="H41">
        <f>모티브!H35+고정형!H35+대리점!H35+차량oe!H35</f>
        <v/>
      </c>
      <c r="I41">
        <f>모티브!I35+고정형!I35+대리점!I35+차량oe!I35</f>
        <v/>
      </c>
      <c r="J41">
        <f>모티브!J35+고정형!J35+대리점!J35+차량oe!J35</f>
        <v/>
      </c>
      <c r="K41">
        <f>모티브!K35+고정형!K35+대리점!K35+차량oe!K35</f>
        <v/>
      </c>
      <c r="L41">
        <f>모티브!L35+고정형!L35+대리점!L35+차량oe!L35</f>
        <v/>
      </c>
      <c r="M41">
        <f>모티브!M35+고정형!M35+대리점!M35+차량oe!M35</f>
        <v/>
      </c>
      <c r="N41">
        <f>SUM(B41:D41)</f>
        <v/>
      </c>
      <c r="O41">
        <f>SUM(E41:G41)</f>
        <v/>
      </c>
      <c r="P41">
        <f>SUM(H41:J41)</f>
        <v/>
      </c>
      <c r="Q41">
        <f>SUM(K41:M41)</f>
        <v/>
      </c>
      <c r="R41">
        <f>SUM(N41:O41)</f>
        <v/>
      </c>
      <c r="S41">
        <f>SUM(P41:Q41)</f>
        <v/>
      </c>
      <c r="T41">
        <f>R41+S41</f>
        <v/>
      </c>
    </row>
    <row r="42">
      <c r="A42" t="inlineStr">
        <is>
          <t xml:space="preserve"> 원가절감(광주)</t>
        </is>
      </c>
      <c r="B42">
        <f>모티브!B36+고정형!B36+대리점!B36+차량oe!B36</f>
        <v/>
      </c>
      <c r="C42">
        <f>모티브!C36+고정형!C36+대리점!C36+차량oe!C36</f>
        <v/>
      </c>
      <c r="D42">
        <f>모티브!D36+고정형!D36+대리점!D36+차량oe!D36</f>
        <v/>
      </c>
      <c r="E42">
        <f>모티브!E36+고정형!E36+대리점!E36+차량oe!E36</f>
        <v/>
      </c>
      <c r="F42">
        <f>모티브!F36+고정형!F36+대리점!F36+차량oe!F36</f>
        <v/>
      </c>
      <c r="G42">
        <f>모티브!G36+고정형!G36+대리점!G36+차량oe!G36</f>
        <v/>
      </c>
      <c r="H42">
        <f>모티브!H36+고정형!H36+대리점!H36+차량oe!H36</f>
        <v/>
      </c>
      <c r="I42">
        <f>모티브!I36+고정형!I36+대리점!I36+차량oe!I36</f>
        <v/>
      </c>
      <c r="J42">
        <f>모티브!J36+고정형!J36+대리점!J36+차량oe!J36</f>
        <v/>
      </c>
      <c r="K42">
        <f>모티브!K36+고정형!K36+대리점!K36+차량oe!K36</f>
        <v/>
      </c>
      <c r="L42">
        <f>모티브!L36+고정형!L36+대리점!L36+차량oe!L36</f>
        <v/>
      </c>
      <c r="M42">
        <f>모티브!M36+고정형!M36+대리점!M36+차량oe!M36</f>
        <v/>
      </c>
      <c r="N42">
        <f>SUM(B42:D42)</f>
        <v/>
      </c>
      <c r="O42">
        <f>SUM(E42:G42)</f>
        <v/>
      </c>
      <c r="P42">
        <f>SUM(H42:J42)</f>
        <v/>
      </c>
      <c r="Q42">
        <f>SUM(K42:M42)</f>
        <v/>
      </c>
      <c r="R42">
        <f>SUM(N42:O42)</f>
        <v/>
      </c>
      <c r="S42">
        <f>SUM(P42:Q42)</f>
        <v/>
      </c>
      <c r="T42">
        <f>R42+S42</f>
        <v/>
      </c>
    </row>
    <row r="43">
      <c r="A43" t="inlineStr">
        <is>
          <t xml:space="preserve"> 원가절감(창원)</t>
        </is>
      </c>
      <c r="B43">
        <f>모티브!B37+고정형!B37+대리점!B37+차량oe!B37</f>
        <v/>
      </c>
      <c r="C43">
        <f>모티브!C37+고정형!C37+대리점!C37+차량oe!C37</f>
        <v/>
      </c>
      <c r="D43">
        <f>모티브!D37+고정형!D37+대리점!D37+차량oe!D37</f>
        <v/>
      </c>
      <c r="E43">
        <f>모티브!E37+고정형!E37+대리점!E37+차량oe!E37</f>
        <v/>
      </c>
      <c r="F43">
        <f>모티브!F37+고정형!F37+대리점!F37+차량oe!F37</f>
        <v/>
      </c>
      <c r="G43">
        <f>모티브!G37+고정형!G37+대리점!G37+차량oe!G37</f>
        <v/>
      </c>
      <c r="H43">
        <f>모티브!H37+고정형!H37+대리점!H37+차량oe!H37</f>
        <v/>
      </c>
      <c r="I43">
        <f>모티브!I37+고정형!I37+대리점!I37+차량oe!I37</f>
        <v/>
      </c>
      <c r="J43">
        <f>모티브!J37+고정형!J37+대리점!J37+차량oe!J37</f>
        <v/>
      </c>
      <c r="K43">
        <f>모티브!K37+고정형!K37+대리점!K37+차량oe!K37</f>
        <v/>
      </c>
      <c r="L43">
        <f>모티브!L37+고정형!L37+대리점!L37+차량oe!L37</f>
        <v/>
      </c>
      <c r="M43">
        <f>모티브!M37+고정형!M37+대리점!M37+차량oe!M37</f>
        <v/>
      </c>
      <c r="N43">
        <f>SUM(B43:D43)</f>
        <v/>
      </c>
      <c r="O43">
        <f>SUM(E43:G43)</f>
        <v/>
      </c>
      <c r="P43">
        <f>SUM(H43:J43)</f>
        <v/>
      </c>
      <c r="Q43">
        <f>SUM(K43:M43)</f>
        <v/>
      </c>
      <c r="R43">
        <f>SUM(N43:O43)</f>
        <v/>
      </c>
      <c r="S43">
        <f>SUM(P43:Q43)</f>
        <v/>
      </c>
      <c r="T43">
        <f>R43+S43</f>
        <v/>
      </c>
    </row>
    <row r="44">
      <c r="A44" t="inlineStr">
        <is>
          <t xml:space="preserve"> 원가절감(품질)</t>
        </is>
      </c>
      <c r="B44">
        <f>모티브!B38+고정형!B38+대리점!B38+차량oe!B38</f>
        <v/>
      </c>
      <c r="C44">
        <f>모티브!C38+고정형!C38+대리점!C38+차량oe!C38</f>
        <v/>
      </c>
      <c r="D44">
        <f>모티브!D38+고정형!D38+대리점!D38+차량oe!D38</f>
        <v/>
      </c>
      <c r="E44">
        <f>모티브!E38+고정형!E38+대리점!E38+차량oe!E38</f>
        <v/>
      </c>
      <c r="F44">
        <f>모티브!F38+고정형!F38+대리점!F38+차량oe!F38</f>
        <v/>
      </c>
      <c r="G44">
        <f>모티브!G38+고정형!G38+대리점!G38+차량oe!G38</f>
        <v/>
      </c>
      <c r="H44">
        <f>모티브!H38+고정형!H38+대리점!H38+차량oe!H38</f>
        <v/>
      </c>
      <c r="I44">
        <f>모티브!I38+고정형!I38+대리점!I38+차량oe!I38</f>
        <v/>
      </c>
      <c r="J44">
        <f>모티브!J38+고정형!J38+대리점!J38+차량oe!J38</f>
        <v/>
      </c>
      <c r="K44">
        <f>모티브!K38+고정형!K38+대리점!K38+차량oe!K38</f>
        <v/>
      </c>
      <c r="L44">
        <f>모티브!L38+고정형!L38+대리점!L38+차량oe!L38</f>
        <v/>
      </c>
      <c r="M44">
        <f>모티브!M38+고정형!M38+대리점!M38+차량oe!M38</f>
        <v/>
      </c>
      <c r="N44">
        <f>SUM(B44:D44)</f>
        <v/>
      </c>
      <c r="O44">
        <f>SUM(E44:G44)</f>
        <v/>
      </c>
      <c r="P44">
        <f>SUM(H44:J44)</f>
        <v/>
      </c>
      <c r="Q44">
        <f>SUM(K44:M44)</f>
        <v/>
      </c>
      <c r="R44">
        <f>SUM(N44:O44)</f>
        <v/>
      </c>
      <c r="S44">
        <f>SUM(P44:Q44)</f>
        <v/>
      </c>
      <c r="T44">
        <f>R44+S44</f>
        <v/>
      </c>
    </row>
    <row r="45">
      <c r="A45" t="inlineStr">
        <is>
          <t xml:space="preserve"> 원가절감(국내)</t>
        </is>
      </c>
      <c r="B45">
        <f>모티브!B39+고정형!B39+대리점!B39+차량oe!B39</f>
        <v/>
      </c>
      <c r="C45">
        <f>모티브!C39+고정형!C39+대리점!C39+차량oe!C39</f>
        <v/>
      </c>
      <c r="D45">
        <f>모티브!D39+고정형!D39+대리점!D39+차량oe!D39</f>
        <v/>
      </c>
      <c r="E45">
        <f>모티브!E39+고정형!E39+대리점!E39+차량oe!E39</f>
        <v/>
      </c>
      <c r="F45">
        <f>모티브!F39+고정형!F39+대리점!F39+차량oe!F39</f>
        <v/>
      </c>
      <c r="G45">
        <f>모티브!G39+고정형!G39+대리점!G39+차량oe!G39</f>
        <v/>
      </c>
      <c r="H45">
        <f>모티브!H39+고정형!H39+대리점!H39+차량oe!H39</f>
        <v/>
      </c>
      <c r="I45">
        <f>모티브!I39+고정형!I39+대리점!I39+차량oe!I39</f>
        <v/>
      </c>
      <c r="J45">
        <f>모티브!J39+고정형!J39+대리점!J39+차량oe!J39</f>
        <v/>
      </c>
      <c r="K45">
        <f>모티브!K39+고정형!K39+대리점!K39+차량oe!K39</f>
        <v/>
      </c>
      <c r="L45">
        <f>모티브!L39+고정형!L39+대리점!L39+차량oe!L39</f>
        <v/>
      </c>
      <c r="M45">
        <f>모티브!M39+고정형!M39+대리점!M39+차량oe!M39</f>
        <v/>
      </c>
      <c r="N45">
        <f>SUM(B45:D45)</f>
        <v/>
      </c>
      <c r="O45">
        <f>SUM(E45:G45)</f>
        <v/>
      </c>
      <c r="P45">
        <f>SUM(H45:J45)</f>
        <v/>
      </c>
      <c r="Q45">
        <f>SUM(K45:M45)</f>
        <v/>
      </c>
      <c r="R45">
        <f>SUM(N45:O45)</f>
        <v/>
      </c>
      <c r="S45">
        <f>SUM(P45:Q45)</f>
        <v/>
      </c>
      <c r="T45">
        <f>R45+S45</f>
        <v/>
      </c>
    </row>
    <row r="46">
      <c r="A46" t="inlineStr">
        <is>
          <t xml:space="preserve"> 원가절감(해외)</t>
        </is>
      </c>
      <c r="B46">
        <f>모티브!B40+고정형!B40+대리점!B40+차량oe!B40</f>
        <v/>
      </c>
      <c r="C46">
        <f>모티브!C40+고정형!C40+대리점!C40+차량oe!C40</f>
        <v/>
      </c>
      <c r="D46">
        <f>모티브!D40+고정형!D40+대리점!D40+차량oe!D40</f>
        <v/>
      </c>
      <c r="E46">
        <f>모티브!E40+고정형!E40+대리점!E40+차량oe!E40</f>
        <v/>
      </c>
      <c r="F46">
        <f>모티브!F40+고정형!F40+대리점!F40+차량oe!F40</f>
        <v/>
      </c>
      <c r="G46">
        <f>모티브!G40+고정형!G40+대리점!G40+차량oe!G40</f>
        <v/>
      </c>
      <c r="H46">
        <f>모티브!H40+고정형!H40+대리점!H40+차량oe!H40</f>
        <v/>
      </c>
      <c r="I46">
        <f>모티브!I40+고정형!I40+대리점!I40+차량oe!I40</f>
        <v/>
      </c>
      <c r="J46">
        <f>모티브!J40+고정형!J40+대리점!J40+차량oe!J40</f>
        <v/>
      </c>
      <c r="K46">
        <f>모티브!K40+고정형!K40+대리점!K40+차량oe!K40</f>
        <v/>
      </c>
      <c r="L46">
        <f>모티브!L40+고정형!L40+대리점!L40+차량oe!L40</f>
        <v/>
      </c>
      <c r="M46">
        <f>모티브!M40+고정형!M40+대리점!M40+차량oe!M40</f>
        <v/>
      </c>
      <c r="N46">
        <f>SUM(B46:D46)</f>
        <v/>
      </c>
      <c r="O46">
        <f>SUM(E46:G46)</f>
        <v/>
      </c>
      <c r="P46">
        <f>SUM(H46:J46)</f>
        <v/>
      </c>
      <c r="Q46">
        <f>SUM(K46:M46)</f>
        <v/>
      </c>
      <c r="R46">
        <f>SUM(N46:O46)</f>
        <v/>
      </c>
      <c r="S46">
        <f>SUM(P46:Q46)</f>
        <v/>
      </c>
      <c r="T46">
        <f>R46+S46</f>
        <v/>
      </c>
    </row>
    <row r="47">
      <c r="A47" t="inlineStr">
        <is>
          <t xml:space="preserve"> 매출총이익(A)</t>
        </is>
      </c>
      <c r="B47">
        <f>B11-B12</f>
        <v/>
      </c>
      <c r="C47">
        <f>C11-C12</f>
        <v/>
      </c>
      <c r="D47">
        <f>D11-D12</f>
        <v/>
      </c>
      <c r="E47">
        <f>E11-E12</f>
        <v/>
      </c>
      <c r="F47">
        <f>F11-F12</f>
        <v/>
      </c>
      <c r="G47">
        <f>G11-G12</f>
        <v/>
      </c>
      <c r="H47">
        <f>H11-H12</f>
        <v/>
      </c>
      <c r="I47">
        <f>I11-I12</f>
        <v/>
      </c>
      <c r="J47">
        <f>J11-J12</f>
        <v/>
      </c>
      <c r="K47">
        <f>K11-K12</f>
        <v/>
      </c>
      <c r="L47">
        <f>L11-L12</f>
        <v/>
      </c>
      <c r="M47">
        <f>M11-M12</f>
        <v/>
      </c>
      <c r="N47">
        <f>N11-N12</f>
        <v/>
      </c>
      <c r="O47">
        <f>O11-O12</f>
        <v/>
      </c>
      <c r="P47">
        <f>P11-P12</f>
        <v/>
      </c>
      <c r="Q47">
        <f>Q11-Q12</f>
        <v/>
      </c>
      <c r="R47">
        <f>R11-R12</f>
        <v/>
      </c>
      <c r="S47">
        <f>S11-S12</f>
        <v/>
      </c>
      <c r="T47">
        <f>T11-T12</f>
        <v/>
      </c>
    </row>
    <row r="48">
      <c r="A48" t="inlineStr">
        <is>
          <t xml:space="preserve"> 판관비(Total)</t>
        </is>
      </c>
      <c r="B48">
        <f>SUM(B50:B86)</f>
        <v/>
      </c>
      <c r="C48">
        <f>SUM(C50:C86)</f>
        <v/>
      </c>
      <c r="D48">
        <f>SUM(D50:D86)</f>
        <v/>
      </c>
      <c r="E48">
        <f>SUM(E50:E86)</f>
        <v/>
      </c>
      <c r="F48">
        <f>SUM(F50:F86)</f>
        <v/>
      </c>
      <c r="G48">
        <f>SUM(G50:G86)</f>
        <v/>
      </c>
      <c r="H48">
        <f>SUM(H50:H86)</f>
        <v/>
      </c>
      <c r="I48">
        <f>SUM(I50:I86)</f>
        <v/>
      </c>
      <c r="J48">
        <f>SUM(J50:J86)</f>
        <v/>
      </c>
      <c r="K48">
        <f>SUM(K50:K86)</f>
        <v/>
      </c>
      <c r="L48">
        <f>SUM(L50:L86)</f>
        <v/>
      </c>
      <c r="M48">
        <f>SUM(M50:M86)</f>
        <v/>
      </c>
      <c r="N48">
        <f>SUM(B48:D48)</f>
        <v/>
      </c>
      <c r="O48">
        <f>SUM(E48:G48)</f>
        <v/>
      </c>
      <c r="P48">
        <f>SUM(H48:J48)</f>
        <v/>
      </c>
      <c r="Q48">
        <f>SUM(K48:M48)</f>
        <v/>
      </c>
      <c r="R48">
        <f>SUM(N48:O48)</f>
        <v/>
      </c>
      <c r="S48">
        <f>SUM(P48:Q48)</f>
        <v/>
      </c>
      <c r="T48">
        <f>R48+S48</f>
        <v/>
      </c>
    </row>
    <row r="49">
      <c r="B49">
        <f>IFERROR(B48/B11,0)</f>
        <v/>
      </c>
      <c r="C49">
        <f>IFERROR(C48/C11,0)</f>
        <v/>
      </c>
      <c r="D49">
        <f>IFERROR(D48/D11,0)</f>
        <v/>
      </c>
      <c r="E49">
        <f>IFERROR(E48/E11,0)</f>
        <v/>
      </c>
      <c r="F49">
        <f>IFERROR(F48/F11,0)</f>
        <v/>
      </c>
      <c r="G49">
        <f>IFERROR(G48/G11,0)</f>
        <v/>
      </c>
      <c r="H49">
        <f>IFERROR(H48/H11,0)</f>
        <v/>
      </c>
      <c r="I49">
        <f>IFERROR(I48/I11,0)</f>
        <v/>
      </c>
      <c r="J49">
        <f>IFERROR(J48/J11,0)</f>
        <v/>
      </c>
      <c r="K49">
        <f>IFERROR(K48/K11,0)</f>
        <v/>
      </c>
      <c r="L49">
        <f>IFERROR(L48/L11,0)</f>
        <v/>
      </c>
      <c r="M49">
        <f>IFERROR(M48/M11,0)</f>
        <v/>
      </c>
      <c r="N49">
        <f>IFERROR(N48/N11,0)</f>
        <v/>
      </c>
      <c r="O49">
        <f>IFERROR(O48/O11,0)</f>
        <v/>
      </c>
      <c r="P49">
        <f>IFERROR(P48/P11,0)</f>
        <v/>
      </c>
      <c r="Q49">
        <f>IFERROR(Q48/Q11,0)</f>
        <v/>
      </c>
      <c r="R49">
        <f>IFERROR(R48/R11,0)</f>
        <v/>
      </c>
      <c r="S49">
        <f>IFERROR(S48/S11,0)</f>
        <v/>
      </c>
      <c r="T49">
        <f>IFERROR(T48/T11,0)</f>
        <v/>
      </c>
    </row>
    <row r="50">
      <c r="A50" t="inlineStr">
        <is>
          <t xml:space="preserve"> 임원급여</t>
        </is>
      </c>
      <c r="B50">
        <f>모티브!B44+고정형!B44+대리점!B44+차량oe!B44</f>
        <v/>
      </c>
      <c r="C50">
        <f>모티브!C44+고정형!C44+대리점!C44+차량oe!C44</f>
        <v/>
      </c>
      <c r="D50">
        <f>모티브!D44+고정형!D44+대리점!D44+차량oe!D44</f>
        <v/>
      </c>
      <c r="E50">
        <f>모티브!E44+고정형!E44+대리점!E44+차량oe!E44</f>
        <v/>
      </c>
      <c r="F50">
        <f>모티브!F44+고정형!F44+대리점!F44+차량oe!F44</f>
        <v/>
      </c>
      <c r="G50">
        <f>모티브!G44+고정형!G44+대리점!G44+차량oe!G44</f>
        <v/>
      </c>
      <c r="H50">
        <f>모티브!H44+고정형!H44+대리점!H44+차량oe!H44</f>
        <v/>
      </c>
      <c r="I50">
        <f>모티브!I44+고정형!I44+대리점!I44+차량oe!I44</f>
        <v/>
      </c>
      <c r="J50">
        <f>모티브!J44+고정형!J44+대리점!J44+차량oe!J44</f>
        <v/>
      </c>
      <c r="K50">
        <f>모티브!K44+고정형!K44+대리점!K44+차량oe!K44</f>
        <v/>
      </c>
      <c r="L50">
        <f>모티브!L44+고정형!L44+대리점!L44+차량oe!L44</f>
        <v/>
      </c>
      <c r="M50">
        <f>모티브!M44+고정형!M44+대리점!M44+차량oe!M44</f>
        <v/>
      </c>
      <c r="N50">
        <f>SUM(B50:D50)</f>
        <v/>
      </c>
      <c r="O50">
        <f>SUM(E50:G50)</f>
        <v/>
      </c>
      <c r="P50">
        <f>SUM(H50:J50)</f>
        <v/>
      </c>
      <c r="Q50">
        <f>SUM(K50:M50)</f>
        <v/>
      </c>
      <c r="R50">
        <f>SUM(N50:O50)</f>
        <v/>
      </c>
      <c r="S50">
        <f>SUM(P50:Q50)</f>
        <v/>
      </c>
      <c r="T50">
        <f>R50+S50</f>
        <v/>
      </c>
    </row>
    <row r="51">
      <c r="A51" t="inlineStr">
        <is>
          <t xml:space="preserve"> 직원급여</t>
        </is>
      </c>
      <c r="B51">
        <f>모티브!B45+고정형!B45+대리점!B45+차량oe!B45</f>
        <v/>
      </c>
      <c r="C51">
        <f>모티브!C45+고정형!C45+대리점!C45+차량oe!C45</f>
        <v/>
      </c>
      <c r="D51">
        <f>모티브!D45+고정형!D45+대리점!D45+차량oe!D45</f>
        <v/>
      </c>
      <c r="E51">
        <f>모티브!E45+고정형!E45+대리점!E45+차량oe!E45</f>
        <v/>
      </c>
      <c r="F51">
        <f>모티브!F45+고정형!F45+대리점!F45+차량oe!F45</f>
        <v/>
      </c>
      <c r="G51">
        <f>모티브!G45+고정형!G45+대리점!G45+차량oe!G45</f>
        <v/>
      </c>
      <c r="H51">
        <f>모티브!H45+고정형!H45+대리점!H45+차량oe!H45</f>
        <v/>
      </c>
      <c r="I51">
        <f>모티브!I45+고정형!I45+대리점!I45+차량oe!I45</f>
        <v/>
      </c>
      <c r="J51">
        <f>모티브!J45+고정형!J45+대리점!J45+차량oe!J45</f>
        <v/>
      </c>
      <c r="K51">
        <f>모티브!K45+고정형!K45+대리점!K45+차량oe!K45</f>
        <v/>
      </c>
      <c r="L51">
        <f>모티브!L45+고정형!L45+대리점!L45+차량oe!L45</f>
        <v/>
      </c>
      <c r="M51">
        <f>모티브!M45+고정형!M45+대리점!M45+차량oe!M45</f>
        <v/>
      </c>
      <c r="N51">
        <f>SUM(B51:D51)</f>
        <v/>
      </c>
      <c r="O51">
        <f>SUM(E51:G51)</f>
        <v/>
      </c>
      <c r="P51">
        <f>SUM(H51:J51)</f>
        <v/>
      </c>
      <c r="Q51">
        <f>SUM(K51:M51)</f>
        <v/>
      </c>
      <c r="R51">
        <f>SUM(N51:O51)</f>
        <v/>
      </c>
      <c r="S51">
        <f>SUM(P51:Q51)</f>
        <v/>
      </c>
      <c r="T51">
        <f>R51+S51</f>
        <v/>
      </c>
    </row>
    <row r="52">
      <c r="A52" t="inlineStr">
        <is>
          <t xml:space="preserve"> 임원상여</t>
        </is>
      </c>
      <c r="B52">
        <f>모티브!B46+고정형!B46+대리점!B46+차량oe!B46</f>
        <v/>
      </c>
      <c r="C52">
        <f>모티브!C46+고정형!C46+대리점!C46+차량oe!C46</f>
        <v/>
      </c>
      <c r="D52">
        <f>모티브!D46+고정형!D46+대리점!D46+차량oe!D46</f>
        <v/>
      </c>
      <c r="E52">
        <f>모티브!E46+고정형!E46+대리점!E46+차량oe!E46</f>
        <v/>
      </c>
      <c r="F52">
        <f>모티브!F46+고정형!F46+대리점!F46+차량oe!F46</f>
        <v/>
      </c>
      <c r="G52">
        <f>모티브!G46+고정형!G46+대리점!G46+차량oe!G46</f>
        <v/>
      </c>
      <c r="H52">
        <f>모티브!H46+고정형!H46+대리점!H46+차량oe!H46</f>
        <v/>
      </c>
      <c r="I52">
        <f>모티브!I46+고정형!I46+대리점!I46+차량oe!I46</f>
        <v/>
      </c>
      <c r="J52">
        <f>모티브!J46+고정형!J46+대리점!J46+차량oe!J46</f>
        <v/>
      </c>
      <c r="K52">
        <f>모티브!K46+고정형!K46+대리점!K46+차량oe!K46</f>
        <v/>
      </c>
      <c r="L52">
        <f>모티브!L46+고정형!L46+대리점!L46+차량oe!L46</f>
        <v/>
      </c>
      <c r="M52">
        <f>모티브!M46+고정형!M46+대리점!M46+차량oe!M46</f>
        <v/>
      </c>
      <c r="N52">
        <f>SUM(B52:D52)</f>
        <v/>
      </c>
      <c r="O52">
        <f>SUM(E52:G52)</f>
        <v/>
      </c>
      <c r="P52">
        <f>SUM(H52:J52)</f>
        <v/>
      </c>
      <c r="Q52">
        <f>SUM(K52:M52)</f>
        <v/>
      </c>
      <c r="R52">
        <f>SUM(N52:O52)</f>
        <v/>
      </c>
      <c r="S52">
        <f>SUM(P52:Q52)</f>
        <v/>
      </c>
      <c r="T52">
        <f>R52+S52</f>
        <v/>
      </c>
    </row>
    <row r="53">
      <c r="A53" t="inlineStr">
        <is>
          <t xml:space="preserve"> 직원상여</t>
        </is>
      </c>
      <c r="B53">
        <f>모티브!B47+고정형!B47+대리점!B47+차량oe!B47</f>
        <v/>
      </c>
      <c r="C53">
        <f>모티브!C47+고정형!C47+대리점!C47+차량oe!C47</f>
        <v/>
      </c>
      <c r="D53">
        <f>모티브!D47+고정형!D47+대리점!D47+차량oe!D47</f>
        <v/>
      </c>
      <c r="E53">
        <f>모티브!E47+고정형!E47+대리점!E47+차량oe!E47</f>
        <v/>
      </c>
      <c r="F53">
        <f>모티브!F47+고정형!F47+대리점!F47+차량oe!F47</f>
        <v/>
      </c>
      <c r="G53">
        <f>모티브!G47+고정형!G47+대리점!G47+차량oe!G47</f>
        <v/>
      </c>
      <c r="H53">
        <f>모티브!H47+고정형!H47+대리점!H47+차량oe!H47</f>
        <v/>
      </c>
      <c r="I53">
        <f>모티브!I47+고정형!I47+대리점!I47+차량oe!I47</f>
        <v/>
      </c>
      <c r="J53">
        <f>모티브!J47+고정형!J47+대리점!J47+차량oe!J47</f>
        <v/>
      </c>
      <c r="K53">
        <f>모티브!K47+고정형!K47+대리점!K47+차량oe!K47</f>
        <v/>
      </c>
      <c r="L53">
        <f>모티브!L47+고정형!L47+대리점!L47+차량oe!L47</f>
        <v/>
      </c>
      <c r="M53">
        <f>모티브!M47+고정형!M47+대리점!M47+차량oe!M47</f>
        <v/>
      </c>
      <c r="N53">
        <f>SUM(B53:D53)</f>
        <v/>
      </c>
      <c r="O53">
        <f>SUM(E53:G53)</f>
        <v/>
      </c>
      <c r="P53">
        <f>SUM(H53:J53)</f>
        <v/>
      </c>
      <c r="Q53">
        <f>SUM(K53:M53)</f>
        <v/>
      </c>
      <c r="R53">
        <f>SUM(N53:O53)</f>
        <v/>
      </c>
      <c r="S53">
        <f>SUM(P53:Q53)</f>
        <v/>
      </c>
      <c r="T53">
        <f>R53+S53</f>
        <v/>
      </c>
    </row>
    <row r="54">
      <c r="A54" t="inlineStr">
        <is>
          <t xml:space="preserve"> 임금</t>
        </is>
      </c>
      <c r="B54">
        <f>모티브!B48+고정형!B48+대리점!B48+차량oe!B48</f>
        <v/>
      </c>
      <c r="C54">
        <f>모티브!C48+고정형!C48+대리점!C48+차량oe!C48</f>
        <v/>
      </c>
      <c r="D54">
        <f>모티브!D48+고정형!D48+대리점!D48+차량oe!D48</f>
        <v/>
      </c>
      <c r="E54">
        <f>모티브!E48+고정형!E48+대리점!E48+차량oe!E48</f>
        <v/>
      </c>
      <c r="F54">
        <f>모티브!F48+고정형!F48+대리점!F48+차량oe!F48</f>
        <v/>
      </c>
      <c r="G54">
        <f>모티브!G48+고정형!G48+대리점!G48+차량oe!G48</f>
        <v/>
      </c>
      <c r="H54">
        <f>모티브!H48+고정형!H48+대리점!H48+차량oe!H48</f>
        <v/>
      </c>
      <c r="I54">
        <f>모티브!I48+고정형!I48+대리점!I48+차량oe!I48</f>
        <v/>
      </c>
      <c r="J54">
        <f>모티브!J48+고정형!J48+대리점!J48+차량oe!J48</f>
        <v/>
      </c>
      <c r="K54">
        <f>모티브!K48+고정형!K48+대리점!K48+차량oe!K48</f>
        <v/>
      </c>
      <c r="L54">
        <f>모티브!L48+고정형!L48+대리점!L48+차량oe!L48</f>
        <v/>
      </c>
      <c r="M54">
        <f>모티브!M48+고정형!M48+대리점!M48+차량oe!M48</f>
        <v/>
      </c>
      <c r="N54">
        <f>SUM(B54:D54)</f>
        <v/>
      </c>
      <c r="O54">
        <f>SUM(E54:G54)</f>
        <v/>
      </c>
      <c r="P54">
        <f>SUM(H54:J54)</f>
        <v/>
      </c>
      <c r="Q54">
        <f>SUM(K54:M54)</f>
        <v/>
      </c>
      <c r="R54">
        <f>SUM(N54:O54)</f>
        <v/>
      </c>
      <c r="S54">
        <f>SUM(P54:Q54)</f>
        <v/>
      </c>
      <c r="T54">
        <f>R54+S54</f>
        <v/>
      </c>
    </row>
    <row r="55">
      <c r="A55" t="inlineStr">
        <is>
          <t xml:space="preserve"> 제수당</t>
        </is>
      </c>
      <c r="B55">
        <f>모티브!B49+고정형!B49+대리점!B49+차량oe!B49</f>
        <v/>
      </c>
      <c r="C55">
        <f>모티브!C49+고정형!C49+대리점!C49+차량oe!C49</f>
        <v/>
      </c>
      <c r="D55">
        <f>모티브!D49+고정형!D49+대리점!D49+차량oe!D49</f>
        <v/>
      </c>
      <c r="E55">
        <f>모티브!E49+고정형!E49+대리점!E49+차량oe!E49</f>
        <v/>
      </c>
      <c r="F55">
        <f>모티브!F49+고정형!F49+대리점!F49+차량oe!F49</f>
        <v/>
      </c>
      <c r="G55">
        <f>모티브!G49+고정형!G49+대리점!G49+차량oe!G49</f>
        <v/>
      </c>
      <c r="H55">
        <f>모티브!H49+고정형!H49+대리점!H49+차량oe!H49</f>
        <v/>
      </c>
      <c r="I55">
        <f>모티브!I49+고정형!I49+대리점!I49+차량oe!I49</f>
        <v/>
      </c>
      <c r="J55">
        <f>모티브!J49+고정형!J49+대리점!J49+차량oe!J49</f>
        <v/>
      </c>
      <c r="K55">
        <f>모티브!K49+고정형!K49+대리점!K49+차량oe!K49</f>
        <v/>
      </c>
      <c r="L55">
        <f>모티브!L49+고정형!L49+대리점!L49+차량oe!L49</f>
        <v/>
      </c>
      <c r="M55">
        <f>모티브!M49+고정형!M49+대리점!M49+차량oe!M49</f>
        <v/>
      </c>
      <c r="N55">
        <f>SUM(B55:D55)</f>
        <v/>
      </c>
      <c r="O55">
        <f>SUM(E55:G55)</f>
        <v/>
      </c>
      <c r="P55">
        <f>SUM(H55:J55)</f>
        <v/>
      </c>
      <c r="Q55">
        <f>SUM(K55:M55)</f>
        <v/>
      </c>
      <c r="R55">
        <f>SUM(N55:O55)</f>
        <v/>
      </c>
      <c r="S55">
        <f>SUM(P55:Q55)</f>
        <v/>
      </c>
      <c r="T55">
        <f>R55+S55</f>
        <v/>
      </c>
    </row>
    <row r="56">
      <c r="A56" t="inlineStr">
        <is>
          <t xml:space="preserve"> 잡급</t>
        </is>
      </c>
      <c r="B56">
        <f>모티브!B50+고정형!B50+대리점!B50+차량oe!B50</f>
        <v/>
      </c>
      <c r="C56">
        <f>모티브!C50+고정형!C50+대리점!C50+차량oe!C50</f>
        <v/>
      </c>
      <c r="D56">
        <f>모티브!D50+고정형!D50+대리점!D50+차량oe!D50</f>
        <v/>
      </c>
      <c r="E56">
        <f>모티브!E50+고정형!E50+대리점!E50+차량oe!E50</f>
        <v/>
      </c>
      <c r="F56">
        <f>모티브!F50+고정형!F50+대리점!F50+차량oe!F50</f>
        <v/>
      </c>
      <c r="G56">
        <f>모티브!G50+고정형!G50+대리점!G50+차량oe!G50</f>
        <v/>
      </c>
      <c r="H56">
        <f>모티브!H50+고정형!H50+대리점!H50+차량oe!H50</f>
        <v/>
      </c>
      <c r="I56">
        <f>모티브!I50+고정형!I50+대리점!I50+차량oe!I50</f>
        <v/>
      </c>
      <c r="J56">
        <f>모티브!J50+고정형!J50+대리점!J50+차량oe!J50</f>
        <v/>
      </c>
      <c r="K56">
        <f>모티브!K50+고정형!K50+대리점!K50+차량oe!K50</f>
        <v/>
      </c>
      <c r="L56">
        <f>모티브!L50+고정형!L50+대리점!L50+차량oe!L50</f>
        <v/>
      </c>
      <c r="M56">
        <f>모티브!M50+고정형!M50+대리점!M50+차량oe!M50</f>
        <v/>
      </c>
      <c r="N56">
        <f>SUM(B56:D56)</f>
        <v/>
      </c>
      <c r="O56">
        <f>SUM(E56:G56)</f>
        <v/>
      </c>
      <c r="P56">
        <f>SUM(H56:J56)</f>
        <v/>
      </c>
      <c r="Q56">
        <f>SUM(K56:M56)</f>
        <v/>
      </c>
      <c r="R56">
        <f>SUM(N56:O56)</f>
        <v/>
      </c>
      <c r="S56">
        <f>SUM(P56:Q56)</f>
        <v/>
      </c>
      <c r="T56">
        <f>R56+S56</f>
        <v/>
      </c>
    </row>
    <row r="57">
      <c r="A57" t="inlineStr">
        <is>
          <t xml:space="preserve"> 퇴직급여</t>
        </is>
      </c>
      <c r="B57">
        <f>모티브!B51+고정형!B51+대리점!B51+차량oe!B51</f>
        <v/>
      </c>
      <c r="C57">
        <f>모티브!C51+고정형!C51+대리점!C51+차량oe!C51</f>
        <v/>
      </c>
      <c r="D57">
        <f>모티브!D51+고정형!D51+대리점!D51+차량oe!D51</f>
        <v/>
      </c>
      <c r="E57">
        <f>모티브!E51+고정형!E51+대리점!E51+차량oe!E51</f>
        <v/>
      </c>
      <c r="F57">
        <f>모티브!F51+고정형!F51+대리점!F51+차량oe!F51</f>
        <v/>
      </c>
      <c r="G57">
        <f>모티브!G51+고정형!G51+대리점!G51+차량oe!G51</f>
        <v/>
      </c>
      <c r="H57">
        <f>모티브!H51+고정형!H51+대리점!H51+차량oe!H51</f>
        <v/>
      </c>
      <c r="I57">
        <f>모티브!I51+고정형!I51+대리점!I51+차량oe!I51</f>
        <v/>
      </c>
      <c r="J57">
        <f>모티브!J51+고정형!J51+대리점!J51+차량oe!J51</f>
        <v/>
      </c>
      <c r="K57">
        <f>모티브!K51+고정형!K51+대리점!K51+차량oe!K51</f>
        <v/>
      </c>
      <c r="L57">
        <f>모티브!L51+고정형!L51+대리점!L51+차량oe!L51</f>
        <v/>
      </c>
      <c r="M57">
        <f>모티브!M51+고정형!M51+대리점!M51+차량oe!M51</f>
        <v/>
      </c>
      <c r="N57">
        <f>SUM(B57:D57)</f>
        <v/>
      </c>
      <c r="O57">
        <f>SUM(E57:G57)</f>
        <v/>
      </c>
      <c r="P57">
        <f>SUM(H57:J57)</f>
        <v/>
      </c>
      <c r="Q57">
        <f>SUM(K57:M57)</f>
        <v/>
      </c>
      <c r="R57">
        <f>SUM(N57:O57)</f>
        <v/>
      </c>
      <c r="S57">
        <f>SUM(P57:Q57)</f>
        <v/>
      </c>
      <c r="T57">
        <f>R57+S57</f>
        <v/>
      </c>
    </row>
    <row r="58">
      <c r="A58" t="inlineStr">
        <is>
          <t xml:space="preserve"> 대손상각비</t>
        </is>
      </c>
      <c r="B58">
        <f>모티브!B52+고정형!B52+대리점!B52+차량oe!B52</f>
        <v/>
      </c>
      <c r="C58">
        <f>모티브!C52+고정형!C52+대리점!C52+차량oe!C52</f>
        <v/>
      </c>
      <c r="D58">
        <f>모티브!D52+고정형!D52+대리점!D52+차량oe!D52</f>
        <v/>
      </c>
      <c r="E58">
        <f>모티브!E52+고정형!E52+대리점!E52+차량oe!E52</f>
        <v/>
      </c>
      <c r="F58">
        <f>모티브!F52+고정형!F52+대리점!F52+차량oe!F52</f>
        <v/>
      </c>
      <c r="G58">
        <f>모티브!G52+고정형!G52+대리점!G52+차량oe!G52</f>
        <v/>
      </c>
      <c r="H58">
        <f>모티브!H52+고정형!H52+대리점!H52+차량oe!H52</f>
        <v/>
      </c>
      <c r="I58">
        <f>모티브!I52+고정형!I52+대리점!I52+차량oe!I52</f>
        <v/>
      </c>
      <c r="J58">
        <f>모티브!J52+고정형!J52+대리점!J52+차량oe!J52</f>
        <v/>
      </c>
      <c r="K58">
        <f>모티브!K52+고정형!K52+대리점!K52+차량oe!K52</f>
        <v/>
      </c>
      <c r="L58">
        <f>모티브!L52+고정형!L52+대리점!L52+차량oe!L52</f>
        <v/>
      </c>
      <c r="M58">
        <f>모티브!M52+고정형!M52+대리점!M52+차량oe!M52</f>
        <v/>
      </c>
      <c r="N58">
        <f>SUM(B58:D58)</f>
        <v/>
      </c>
      <c r="O58">
        <f>SUM(E58:G58)</f>
        <v/>
      </c>
      <c r="P58">
        <f>SUM(H58:J58)</f>
        <v/>
      </c>
      <c r="Q58">
        <f>SUM(K58:M58)</f>
        <v/>
      </c>
      <c r="R58">
        <f>SUM(N58:O58)</f>
        <v/>
      </c>
      <c r="S58">
        <f>SUM(P58:Q58)</f>
        <v/>
      </c>
      <c r="T58">
        <f>R58+S58</f>
        <v/>
      </c>
    </row>
    <row r="59">
      <c r="A59" t="inlineStr">
        <is>
          <t xml:space="preserve"> 복리후생비</t>
        </is>
      </c>
      <c r="B59">
        <f>모티브!B53+고정형!B53+대리점!B53+차량oe!B53</f>
        <v/>
      </c>
      <c r="C59">
        <f>모티브!C53+고정형!C53+대리점!C53+차량oe!C53</f>
        <v/>
      </c>
      <c r="D59">
        <f>모티브!D53+고정형!D53+대리점!D53+차량oe!D53</f>
        <v/>
      </c>
      <c r="E59">
        <f>모티브!E53+고정형!E53+대리점!E53+차량oe!E53</f>
        <v/>
      </c>
      <c r="F59">
        <f>모티브!F53+고정형!F53+대리점!F53+차량oe!F53</f>
        <v/>
      </c>
      <c r="G59">
        <f>모티브!G53+고정형!G53+대리점!G53+차량oe!G53</f>
        <v/>
      </c>
      <c r="H59">
        <f>모티브!H53+고정형!H53+대리점!H53+차량oe!H53</f>
        <v/>
      </c>
      <c r="I59">
        <f>모티브!I53+고정형!I53+대리점!I53+차량oe!I53</f>
        <v/>
      </c>
      <c r="J59">
        <f>모티브!J53+고정형!J53+대리점!J53+차량oe!J53</f>
        <v/>
      </c>
      <c r="K59">
        <f>모티브!K53+고정형!K53+대리점!K53+차량oe!K53</f>
        <v/>
      </c>
      <c r="L59">
        <f>모티브!L53+고정형!L53+대리점!L53+차량oe!L53</f>
        <v/>
      </c>
      <c r="M59">
        <f>모티브!M53+고정형!M53+대리점!M53+차량oe!M53</f>
        <v/>
      </c>
      <c r="N59">
        <f>SUM(B59:D59)</f>
        <v/>
      </c>
      <c r="O59">
        <f>SUM(E59:G59)</f>
        <v/>
      </c>
      <c r="P59">
        <f>SUM(H59:J59)</f>
        <v/>
      </c>
      <c r="Q59">
        <f>SUM(K59:M59)</f>
        <v/>
      </c>
      <c r="R59">
        <f>SUM(N59:O59)</f>
        <v/>
      </c>
      <c r="S59">
        <f>SUM(P59:Q59)</f>
        <v/>
      </c>
      <c r="T59">
        <f>R59+S59</f>
        <v/>
      </c>
    </row>
    <row r="60">
      <c r="A60" t="inlineStr">
        <is>
          <t xml:space="preserve"> 여비교통비</t>
        </is>
      </c>
      <c r="B60">
        <f>모티브!B54+고정형!B54+대리점!B54+차량oe!B54</f>
        <v/>
      </c>
      <c r="C60">
        <f>모티브!C54+고정형!C54+대리점!C54+차량oe!C54</f>
        <v/>
      </c>
      <c r="D60">
        <f>모티브!D54+고정형!D54+대리점!D54+차량oe!D54</f>
        <v/>
      </c>
      <c r="E60">
        <f>모티브!E54+고정형!E54+대리점!E54+차량oe!E54</f>
        <v/>
      </c>
      <c r="F60">
        <f>모티브!F54+고정형!F54+대리점!F54+차량oe!F54</f>
        <v/>
      </c>
      <c r="G60">
        <f>모티브!G54+고정형!G54+대리점!G54+차량oe!G54</f>
        <v/>
      </c>
      <c r="H60">
        <f>모티브!H54+고정형!H54+대리점!H54+차량oe!H54</f>
        <v/>
      </c>
      <c r="I60">
        <f>모티브!I54+고정형!I54+대리점!I54+차량oe!I54</f>
        <v/>
      </c>
      <c r="J60">
        <f>모티브!J54+고정형!J54+대리점!J54+차량oe!J54</f>
        <v/>
      </c>
      <c r="K60">
        <f>모티브!K54+고정형!K54+대리점!K54+차량oe!K54</f>
        <v/>
      </c>
      <c r="L60">
        <f>모티브!L54+고정형!L54+대리점!L54+차량oe!L54</f>
        <v/>
      </c>
      <c r="M60">
        <f>모티브!M54+고정형!M54+대리점!M54+차량oe!M54</f>
        <v/>
      </c>
      <c r="N60">
        <f>SUM(B60:D60)</f>
        <v/>
      </c>
      <c r="O60">
        <f>SUM(E60:G60)</f>
        <v/>
      </c>
      <c r="P60">
        <f>SUM(H60:J60)</f>
        <v/>
      </c>
      <c r="Q60">
        <f>SUM(K60:M60)</f>
        <v/>
      </c>
      <c r="R60">
        <f>SUM(N60:O60)</f>
        <v/>
      </c>
      <c r="S60">
        <f>SUM(P60:Q60)</f>
        <v/>
      </c>
      <c r="T60">
        <f>R60+S60</f>
        <v/>
      </c>
    </row>
    <row r="61">
      <c r="A61" t="inlineStr">
        <is>
          <t xml:space="preserve"> 통신비</t>
        </is>
      </c>
      <c r="B61">
        <f>모티브!B55+고정형!B55+대리점!B55+차량oe!B55</f>
        <v/>
      </c>
      <c r="C61">
        <f>모티브!C55+고정형!C55+대리점!C55+차량oe!C55</f>
        <v/>
      </c>
      <c r="D61">
        <f>모티브!D55+고정형!D55+대리점!D55+차량oe!D55</f>
        <v/>
      </c>
      <c r="E61">
        <f>모티브!E55+고정형!E55+대리점!E55+차량oe!E55</f>
        <v/>
      </c>
      <c r="F61">
        <f>모티브!F55+고정형!F55+대리점!F55+차량oe!F55</f>
        <v/>
      </c>
      <c r="G61">
        <f>모티브!G55+고정형!G55+대리점!G55+차량oe!G55</f>
        <v/>
      </c>
      <c r="H61">
        <f>모티브!H55+고정형!H55+대리점!H55+차량oe!H55</f>
        <v/>
      </c>
      <c r="I61">
        <f>모티브!I55+고정형!I55+대리점!I55+차량oe!I55</f>
        <v/>
      </c>
      <c r="J61">
        <f>모티브!J55+고정형!J55+대리점!J55+차량oe!J55</f>
        <v/>
      </c>
      <c r="K61">
        <f>모티브!K55+고정형!K55+대리점!K55+차량oe!K55</f>
        <v/>
      </c>
      <c r="L61">
        <f>모티브!L55+고정형!L55+대리점!L55+차량oe!L55</f>
        <v/>
      </c>
      <c r="M61">
        <f>모티브!M55+고정형!M55+대리점!M55+차량oe!M55</f>
        <v/>
      </c>
      <c r="N61">
        <f>SUM(B61:D61)</f>
        <v/>
      </c>
      <c r="O61">
        <f>SUM(E61:G61)</f>
        <v/>
      </c>
      <c r="P61">
        <f>SUM(H61:J61)</f>
        <v/>
      </c>
      <c r="Q61">
        <f>SUM(K61:M61)</f>
        <v/>
      </c>
      <c r="R61">
        <f>SUM(N61:O61)</f>
        <v/>
      </c>
      <c r="S61">
        <f>SUM(P61:Q61)</f>
        <v/>
      </c>
      <c r="T61">
        <f>R61+S61</f>
        <v/>
      </c>
    </row>
    <row r="62">
      <c r="A62" t="inlineStr">
        <is>
          <t xml:space="preserve"> 소모품비</t>
        </is>
      </c>
      <c r="B62">
        <f>모티브!B56+고정형!B56+대리점!B56+차량oe!B56</f>
        <v/>
      </c>
      <c r="C62">
        <f>모티브!C56+고정형!C56+대리점!C56+차량oe!C56</f>
        <v/>
      </c>
      <c r="D62">
        <f>모티브!D56+고정형!D56+대리점!D56+차량oe!D56</f>
        <v/>
      </c>
      <c r="E62">
        <f>모티브!E56+고정형!E56+대리점!E56+차량oe!E56</f>
        <v/>
      </c>
      <c r="F62">
        <f>모티브!F56+고정형!F56+대리점!F56+차량oe!F56</f>
        <v/>
      </c>
      <c r="G62">
        <f>모티브!G56+고정형!G56+대리점!G56+차량oe!G56</f>
        <v/>
      </c>
      <c r="H62">
        <f>모티브!H56+고정형!H56+대리점!H56+차량oe!H56</f>
        <v/>
      </c>
      <c r="I62">
        <f>모티브!I56+고정형!I56+대리점!I56+차량oe!I56</f>
        <v/>
      </c>
      <c r="J62">
        <f>모티브!J56+고정형!J56+대리점!J56+차량oe!J56</f>
        <v/>
      </c>
      <c r="K62">
        <f>모티브!K56+고정형!K56+대리점!K56+차량oe!K56</f>
        <v/>
      </c>
      <c r="L62">
        <f>모티브!L56+고정형!L56+대리점!L56+차량oe!L56</f>
        <v/>
      </c>
      <c r="M62">
        <f>모티브!M56+고정형!M56+대리점!M56+차량oe!M56</f>
        <v/>
      </c>
      <c r="N62">
        <f>SUM(B62:D62)</f>
        <v/>
      </c>
      <c r="O62">
        <f>SUM(E62:G62)</f>
        <v/>
      </c>
      <c r="P62">
        <f>SUM(H62:J62)</f>
        <v/>
      </c>
      <c r="Q62">
        <f>SUM(K62:M62)</f>
        <v/>
      </c>
      <c r="R62">
        <f>SUM(N62:O62)</f>
        <v/>
      </c>
      <c r="S62">
        <f>SUM(P62:Q62)</f>
        <v/>
      </c>
      <c r="T62">
        <f>R62+S62</f>
        <v/>
      </c>
    </row>
    <row r="63">
      <c r="A63" t="inlineStr">
        <is>
          <t xml:space="preserve"> 도서인쇄비</t>
        </is>
      </c>
      <c r="B63">
        <f>모티브!B57+고정형!B57+대리점!B57+차량oe!B57</f>
        <v/>
      </c>
      <c r="C63">
        <f>모티브!C57+고정형!C57+대리점!C57+차량oe!C57</f>
        <v/>
      </c>
      <c r="D63">
        <f>모티브!D57+고정형!D57+대리점!D57+차량oe!D57</f>
        <v/>
      </c>
      <c r="E63">
        <f>모티브!E57+고정형!E57+대리점!E57+차량oe!E57</f>
        <v/>
      </c>
      <c r="F63">
        <f>모티브!F57+고정형!F57+대리점!F57+차량oe!F57</f>
        <v/>
      </c>
      <c r="G63">
        <f>모티브!G57+고정형!G57+대리점!G57+차량oe!G57</f>
        <v/>
      </c>
      <c r="H63">
        <f>모티브!H57+고정형!H57+대리점!H57+차량oe!H57</f>
        <v/>
      </c>
      <c r="I63">
        <f>모티브!I57+고정형!I57+대리점!I57+차량oe!I57</f>
        <v/>
      </c>
      <c r="J63">
        <f>모티브!J57+고정형!J57+대리점!J57+차량oe!J57</f>
        <v/>
      </c>
      <c r="K63">
        <f>모티브!K57+고정형!K57+대리점!K57+차량oe!K57</f>
        <v/>
      </c>
      <c r="L63">
        <f>모티브!L57+고정형!L57+대리점!L57+차량oe!L57</f>
        <v/>
      </c>
      <c r="M63">
        <f>모티브!M57+고정형!M57+대리점!M57+차량oe!M57</f>
        <v/>
      </c>
      <c r="N63">
        <f>SUM(B63:D63)</f>
        <v/>
      </c>
      <c r="O63">
        <f>SUM(E63:G63)</f>
        <v/>
      </c>
      <c r="P63">
        <f>SUM(H63:J63)</f>
        <v/>
      </c>
      <c r="Q63">
        <f>SUM(K63:M63)</f>
        <v/>
      </c>
      <c r="R63">
        <f>SUM(N63:O63)</f>
        <v/>
      </c>
      <c r="S63">
        <f>SUM(P63:Q63)</f>
        <v/>
      </c>
      <c r="T63">
        <f>R63+S63</f>
        <v/>
      </c>
    </row>
    <row r="64">
      <c r="A64" t="inlineStr">
        <is>
          <t xml:space="preserve"> 세금과공과</t>
        </is>
      </c>
      <c r="B64">
        <f>모티브!B58+고정형!B58+대리점!B58+차량oe!B58</f>
        <v/>
      </c>
      <c r="C64">
        <f>모티브!C58+고정형!C58+대리점!C58+차량oe!C58</f>
        <v/>
      </c>
      <c r="D64">
        <f>모티브!D58+고정형!D58+대리점!D58+차량oe!D58</f>
        <v/>
      </c>
      <c r="E64">
        <f>모티브!E58+고정형!E58+대리점!E58+차량oe!E58</f>
        <v/>
      </c>
      <c r="F64">
        <f>모티브!F58+고정형!F58+대리점!F58+차량oe!F58</f>
        <v/>
      </c>
      <c r="G64">
        <f>모티브!G58+고정형!G58+대리점!G58+차량oe!G58</f>
        <v/>
      </c>
      <c r="H64">
        <f>모티브!H58+고정형!H58+대리점!H58+차량oe!H58</f>
        <v/>
      </c>
      <c r="I64">
        <f>모티브!I58+고정형!I58+대리점!I58+차량oe!I58</f>
        <v/>
      </c>
      <c r="J64">
        <f>모티브!J58+고정형!J58+대리점!J58+차량oe!J58</f>
        <v/>
      </c>
      <c r="K64">
        <f>모티브!K58+고정형!K58+대리점!K58+차량oe!K58</f>
        <v/>
      </c>
      <c r="L64">
        <f>모티브!L58+고정형!L58+대리점!L58+차량oe!L58</f>
        <v/>
      </c>
      <c r="M64">
        <f>모티브!M58+고정형!M58+대리점!M58+차량oe!M58</f>
        <v/>
      </c>
      <c r="N64">
        <f>SUM(B64:D64)</f>
        <v/>
      </c>
      <c r="O64">
        <f>SUM(E64:G64)</f>
        <v/>
      </c>
      <c r="P64">
        <f>SUM(H64:J64)</f>
        <v/>
      </c>
      <c r="Q64">
        <f>SUM(K64:M64)</f>
        <v/>
      </c>
      <c r="R64">
        <f>SUM(N64:O64)</f>
        <v/>
      </c>
      <c r="S64">
        <f>SUM(P64:Q64)</f>
        <v/>
      </c>
      <c r="T64">
        <f>R64+S64</f>
        <v/>
      </c>
    </row>
    <row r="65">
      <c r="A65" t="inlineStr">
        <is>
          <t xml:space="preserve"> 임차료</t>
        </is>
      </c>
      <c r="B65">
        <f>모티브!B59+고정형!B59+대리점!B59+차량oe!B59</f>
        <v/>
      </c>
      <c r="C65">
        <f>모티브!C59+고정형!C59+대리점!C59+차량oe!C59</f>
        <v/>
      </c>
      <c r="D65">
        <f>모티브!D59+고정형!D59+대리점!D59+차량oe!D59</f>
        <v/>
      </c>
      <c r="E65">
        <f>모티브!E59+고정형!E59+대리점!E59+차량oe!E59</f>
        <v/>
      </c>
      <c r="F65">
        <f>모티브!F59+고정형!F59+대리점!F59+차량oe!F59</f>
        <v/>
      </c>
      <c r="G65">
        <f>모티브!G59+고정형!G59+대리점!G59+차량oe!G59</f>
        <v/>
      </c>
      <c r="H65">
        <f>모티브!H59+고정형!H59+대리점!H59+차량oe!H59</f>
        <v/>
      </c>
      <c r="I65">
        <f>모티브!I59+고정형!I59+대리점!I59+차량oe!I59</f>
        <v/>
      </c>
      <c r="J65">
        <f>모티브!J59+고정형!J59+대리점!J59+차량oe!J59</f>
        <v/>
      </c>
      <c r="K65">
        <f>모티브!K59+고정형!K59+대리점!K59+차량oe!K59</f>
        <v/>
      </c>
      <c r="L65">
        <f>모티브!L59+고정형!L59+대리점!L59+차량oe!L59</f>
        <v/>
      </c>
      <c r="M65">
        <f>모티브!M59+고정형!M59+대리점!M59+차량oe!M59</f>
        <v/>
      </c>
      <c r="N65">
        <f>SUM(B65:D65)</f>
        <v/>
      </c>
      <c r="O65">
        <f>SUM(E65:G65)</f>
        <v/>
      </c>
      <c r="P65">
        <f>SUM(H65:J65)</f>
        <v/>
      </c>
      <c r="Q65">
        <f>SUM(K65:M65)</f>
        <v/>
      </c>
      <c r="R65">
        <f>SUM(N65:O65)</f>
        <v/>
      </c>
      <c r="S65">
        <f>SUM(P65:Q65)</f>
        <v/>
      </c>
      <c r="T65">
        <f>R65+S65</f>
        <v/>
      </c>
    </row>
    <row r="66">
      <c r="A66" t="inlineStr">
        <is>
          <t xml:space="preserve"> 수도광열비</t>
        </is>
      </c>
      <c r="B66">
        <f>모티브!B60+고정형!B60+대리점!B60+차량oe!B60</f>
        <v/>
      </c>
      <c r="C66">
        <f>모티브!C60+고정형!C60+대리점!C60+차량oe!C60</f>
        <v/>
      </c>
      <c r="D66">
        <f>모티브!D60+고정형!D60+대리점!D60+차량oe!D60</f>
        <v/>
      </c>
      <c r="E66">
        <f>모티브!E60+고정형!E60+대리점!E60+차량oe!E60</f>
        <v/>
      </c>
      <c r="F66">
        <f>모티브!F60+고정형!F60+대리점!F60+차량oe!F60</f>
        <v/>
      </c>
      <c r="G66">
        <f>모티브!G60+고정형!G60+대리점!G60+차량oe!G60</f>
        <v/>
      </c>
      <c r="H66">
        <f>모티브!H60+고정형!H60+대리점!H60+차량oe!H60</f>
        <v/>
      </c>
      <c r="I66">
        <f>모티브!I60+고정형!I60+대리점!I60+차량oe!I60</f>
        <v/>
      </c>
      <c r="J66">
        <f>모티브!J60+고정형!J60+대리점!J60+차량oe!J60</f>
        <v/>
      </c>
      <c r="K66">
        <f>모티브!K60+고정형!K60+대리점!K60+차량oe!K60</f>
        <v/>
      </c>
      <c r="L66">
        <f>모티브!L60+고정형!L60+대리점!L60+차량oe!L60</f>
        <v/>
      </c>
      <c r="M66">
        <f>모티브!M60+고정형!M60+대리점!M60+차량oe!M60</f>
        <v/>
      </c>
      <c r="N66">
        <f>SUM(B66:D66)</f>
        <v/>
      </c>
      <c r="O66">
        <f>SUM(E66:G66)</f>
        <v/>
      </c>
      <c r="P66">
        <f>SUM(H66:J66)</f>
        <v/>
      </c>
      <c r="Q66">
        <f>SUM(K66:M66)</f>
        <v/>
      </c>
      <c r="R66">
        <f>SUM(N66:O66)</f>
        <v/>
      </c>
      <c r="S66">
        <f>SUM(P66:Q66)</f>
        <v/>
      </c>
      <c r="T66">
        <f>R66+S66</f>
        <v/>
      </c>
    </row>
    <row r="67">
      <c r="A67" t="inlineStr">
        <is>
          <t xml:space="preserve"> 광고선전비</t>
        </is>
      </c>
      <c r="B67">
        <f>모티브!B61+고정형!B61+대리점!B61+차량oe!B61</f>
        <v/>
      </c>
      <c r="C67">
        <f>모티브!C61+고정형!C61+대리점!C61+차량oe!C61</f>
        <v/>
      </c>
      <c r="D67">
        <f>모티브!D61+고정형!D61+대리점!D61+차량oe!D61</f>
        <v/>
      </c>
      <c r="E67">
        <f>모티브!E61+고정형!E61+대리점!E61+차량oe!E61</f>
        <v/>
      </c>
      <c r="F67">
        <f>모티브!F61+고정형!F61+대리점!F61+차량oe!F61</f>
        <v/>
      </c>
      <c r="G67">
        <f>모티브!G61+고정형!G61+대리점!G61+차량oe!G61</f>
        <v/>
      </c>
      <c r="H67">
        <f>모티브!H61+고정형!H61+대리점!H61+차량oe!H61</f>
        <v/>
      </c>
      <c r="I67">
        <f>모티브!I61+고정형!I61+대리점!I61+차량oe!I61</f>
        <v/>
      </c>
      <c r="J67">
        <f>모티브!J61+고정형!J61+대리점!J61+차량oe!J61</f>
        <v/>
      </c>
      <c r="K67">
        <f>모티브!K61+고정형!K61+대리점!K61+차량oe!K61</f>
        <v/>
      </c>
      <c r="L67">
        <f>모티브!L61+고정형!L61+대리점!L61+차량oe!L61</f>
        <v/>
      </c>
      <c r="M67">
        <f>모티브!M61+고정형!M61+대리점!M61+차량oe!M61</f>
        <v/>
      </c>
      <c r="N67">
        <f>SUM(B67:D67)</f>
        <v/>
      </c>
      <c r="O67">
        <f>SUM(E67:G67)</f>
        <v/>
      </c>
      <c r="P67">
        <f>SUM(H67:J67)</f>
        <v/>
      </c>
      <c r="Q67">
        <f>SUM(K67:M67)</f>
        <v/>
      </c>
      <c r="R67">
        <f>SUM(N67:O67)</f>
        <v/>
      </c>
      <c r="S67">
        <f>SUM(P67:Q67)</f>
        <v/>
      </c>
      <c r="T67">
        <f>R67+S67</f>
        <v/>
      </c>
    </row>
    <row r="68">
      <c r="A68" t="inlineStr">
        <is>
          <t xml:space="preserve"> 접대비(A)</t>
        </is>
      </c>
      <c r="B68">
        <f>모티브!B62+고정형!B62+대리점!B62+차량oe!B62</f>
        <v/>
      </c>
      <c r="C68">
        <f>모티브!C62+고정형!C62+대리점!C62+차량oe!C62</f>
        <v/>
      </c>
      <c r="D68">
        <f>모티브!D62+고정형!D62+대리점!D62+차량oe!D62</f>
        <v/>
      </c>
      <c r="E68">
        <f>모티브!E62+고정형!E62+대리점!E62+차량oe!E62</f>
        <v/>
      </c>
      <c r="F68">
        <f>모티브!F62+고정형!F62+대리점!F62+차량oe!F62</f>
        <v/>
      </c>
      <c r="G68">
        <f>모티브!G62+고정형!G62+대리점!G62+차량oe!G62</f>
        <v/>
      </c>
      <c r="H68">
        <f>모티브!H62+고정형!H62+대리점!H62+차량oe!H62</f>
        <v/>
      </c>
      <c r="I68">
        <f>모티브!I62+고정형!I62+대리점!I62+차량oe!I62</f>
        <v/>
      </c>
      <c r="J68">
        <f>모티브!J62+고정형!J62+대리점!J62+차량oe!J62</f>
        <v/>
      </c>
      <c r="K68">
        <f>모티브!K62+고정형!K62+대리점!K62+차량oe!K62</f>
        <v/>
      </c>
      <c r="L68">
        <f>모티브!L62+고정형!L62+대리점!L62+차량oe!L62</f>
        <v/>
      </c>
      <c r="M68">
        <f>모티브!M62+고정형!M62+대리점!M62+차량oe!M62</f>
        <v/>
      </c>
      <c r="N68">
        <f>SUM(B68:D68)</f>
        <v/>
      </c>
      <c r="O68">
        <f>SUM(E68:G68)</f>
        <v/>
      </c>
      <c r="P68">
        <f>SUM(H68:J68)</f>
        <v/>
      </c>
      <c r="Q68">
        <f>SUM(K68:M68)</f>
        <v/>
      </c>
      <c r="R68">
        <f>SUM(N68:O68)</f>
        <v/>
      </c>
      <c r="S68">
        <f>SUM(P68:Q68)</f>
        <v/>
      </c>
      <c r="T68">
        <f>R68+S68</f>
        <v/>
      </c>
    </row>
    <row r="69">
      <c r="A69" t="inlineStr">
        <is>
          <t xml:space="preserve"> 차량유지비</t>
        </is>
      </c>
      <c r="B69">
        <f>모티브!B63+고정형!B63+대리점!B63+차량oe!B63</f>
        <v/>
      </c>
      <c r="C69">
        <f>모티브!C63+고정형!C63+대리점!C63+차량oe!C63</f>
        <v/>
      </c>
      <c r="D69">
        <f>모티브!D63+고정형!D63+대리점!D63+차량oe!D63</f>
        <v/>
      </c>
      <c r="E69">
        <f>모티브!E63+고정형!E63+대리점!E63+차량oe!E63</f>
        <v/>
      </c>
      <c r="F69">
        <f>모티브!F63+고정형!F63+대리점!F63+차량oe!F63</f>
        <v/>
      </c>
      <c r="G69">
        <f>모티브!G63+고정형!G63+대리점!G63+차량oe!G63</f>
        <v/>
      </c>
      <c r="H69">
        <f>모티브!H63+고정형!H63+대리점!H63+차량oe!H63</f>
        <v/>
      </c>
      <c r="I69">
        <f>모티브!I63+고정형!I63+대리점!I63+차량oe!I63</f>
        <v/>
      </c>
      <c r="J69">
        <f>모티브!J63+고정형!J63+대리점!J63+차량oe!J63</f>
        <v/>
      </c>
      <c r="K69">
        <f>모티브!K63+고정형!K63+대리점!K63+차량oe!K63</f>
        <v/>
      </c>
      <c r="L69">
        <f>모티브!L63+고정형!L63+대리점!L63+차량oe!L63</f>
        <v/>
      </c>
      <c r="M69">
        <f>모티브!M63+고정형!M63+대리점!M63+차량oe!M63</f>
        <v/>
      </c>
      <c r="N69">
        <f>SUM(B69:D69)</f>
        <v/>
      </c>
      <c r="O69">
        <f>SUM(E69:G69)</f>
        <v/>
      </c>
      <c r="P69">
        <f>SUM(H69:J69)</f>
        <v/>
      </c>
      <c r="Q69">
        <f>SUM(K69:M69)</f>
        <v/>
      </c>
      <c r="R69">
        <f>SUM(N69:O69)</f>
        <v/>
      </c>
      <c r="S69">
        <f>SUM(P69:Q69)</f>
        <v/>
      </c>
      <c r="T69">
        <f>R69+S69</f>
        <v/>
      </c>
    </row>
    <row r="70">
      <c r="A70" t="inlineStr">
        <is>
          <t xml:space="preserve"> 운반비</t>
        </is>
      </c>
      <c r="B70">
        <f>모티브!B64+고정형!B64+대리점!B64+차량oe!B64</f>
        <v/>
      </c>
      <c r="C70">
        <f>모티브!C64+고정형!C64+대리점!C64+차량oe!C64</f>
        <v/>
      </c>
      <c r="D70">
        <f>모티브!D64+고정형!D64+대리점!D64+차량oe!D64</f>
        <v/>
      </c>
      <c r="E70">
        <f>모티브!E64+고정형!E64+대리점!E64+차량oe!E64</f>
        <v/>
      </c>
      <c r="F70">
        <f>모티브!F64+고정형!F64+대리점!F64+차량oe!F64</f>
        <v/>
      </c>
      <c r="G70">
        <f>모티브!G64+고정형!G64+대리점!G64+차량oe!G64</f>
        <v/>
      </c>
      <c r="H70">
        <f>모티브!H64+고정형!H64+대리점!H64+차량oe!H64</f>
        <v/>
      </c>
      <c r="I70">
        <f>모티브!I64+고정형!I64+대리점!I64+차량oe!I64</f>
        <v/>
      </c>
      <c r="J70">
        <f>모티브!J64+고정형!J64+대리점!J64+차량oe!J64</f>
        <v/>
      </c>
      <c r="K70">
        <f>모티브!K64+고정형!K64+대리점!K64+차량oe!K64</f>
        <v/>
      </c>
      <c r="L70">
        <f>모티브!L64+고정형!L64+대리점!L64+차량oe!L64</f>
        <v/>
      </c>
      <c r="M70">
        <f>모티브!M64+고정형!M64+대리점!M64+차량oe!M64</f>
        <v/>
      </c>
      <c r="N70">
        <f>SUM(B70:D70)</f>
        <v/>
      </c>
      <c r="O70">
        <f>SUM(E70:G70)</f>
        <v/>
      </c>
      <c r="P70">
        <f>SUM(H70:J70)</f>
        <v/>
      </c>
      <c r="Q70">
        <f>SUM(K70:M70)</f>
        <v/>
      </c>
      <c r="R70">
        <f>SUM(N70:O70)</f>
        <v/>
      </c>
      <c r="S70">
        <f>SUM(P70:Q70)</f>
        <v/>
      </c>
      <c r="T70">
        <f>R70+S70</f>
        <v/>
      </c>
    </row>
    <row r="71">
      <c r="A71" t="inlineStr">
        <is>
          <t xml:space="preserve"> 지급수수료</t>
        </is>
      </c>
      <c r="B71">
        <f>모티브!B65+고정형!B65+대리점!B65+차량oe!B65</f>
        <v/>
      </c>
      <c r="C71">
        <f>모티브!C65+고정형!C65+대리점!C65+차량oe!C65</f>
        <v/>
      </c>
      <c r="D71">
        <f>모티브!D65+고정형!D65+대리점!D65+차량oe!D65</f>
        <v/>
      </c>
      <c r="E71">
        <f>모티브!E65+고정형!E65+대리점!E65+차량oe!E65</f>
        <v/>
      </c>
      <c r="F71">
        <f>모티브!F65+고정형!F65+대리점!F65+차량oe!F65</f>
        <v/>
      </c>
      <c r="G71">
        <f>모티브!G65+고정형!G65+대리점!G65+차량oe!G65</f>
        <v/>
      </c>
      <c r="H71">
        <f>모티브!H65+고정형!H65+대리점!H65+차량oe!H65</f>
        <v/>
      </c>
      <c r="I71">
        <f>모티브!I65+고정형!I65+대리점!I65+차량oe!I65</f>
        <v/>
      </c>
      <c r="J71">
        <f>모티브!J65+고정형!J65+대리점!J65+차량oe!J65</f>
        <v/>
      </c>
      <c r="K71">
        <f>모티브!K65+고정형!K65+대리점!K65+차량oe!K65</f>
        <v/>
      </c>
      <c r="L71">
        <f>모티브!L65+고정형!L65+대리점!L65+차량oe!L65</f>
        <v/>
      </c>
      <c r="M71">
        <f>모티브!M65+고정형!M65+대리점!M65+차량oe!M65</f>
        <v/>
      </c>
      <c r="N71">
        <f>SUM(B71:D71)</f>
        <v/>
      </c>
      <c r="O71">
        <f>SUM(E71:G71)</f>
        <v/>
      </c>
      <c r="P71">
        <f>SUM(H71:J71)</f>
        <v/>
      </c>
      <c r="Q71">
        <f>SUM(K71:M71)</f>
        <v/>
      </c>
      <c r="R71">
        <f>SUM(N71:O71)</f>
        <v/>
      </c>
      <c r="S71">
        <f>SUM(P71:Q71)</f>
        <v/>
      </c>
      <c r="T71">
        <f>R71+S71</f>
        <v/>
      </c>
    </row>
    <row r="72">
      <c r="A72" t="inlineStr">
        <is>
          <t xml:space="preserve"> 수출비용(A)</t>
        </is>
      </c>
      <c r="B72">
        <f>모티브!B66+고정형!B66+대리점!B66+차량oe!B66</f>
        <v/>
      </c>
      <c r="C72">
        <f>모티브!C66+고정형!C66+대리점!C66+차량oe!C66</f>
        <v/>
      </c>
      <c r="D72">
        <f>모티브!D66+고정형!D66+대리점!D66+차량oe!D66</f>
        <v/>
      </c>
      <c r="E72">
        <f>모티브!E66+고정형!E66+대리점!E66+차량oe!E66</f>
        <v/>
      </c>
      <c r="F72">
        <f>모티브!F66+고정형!F66+대리점!F66+차량oe!F66</f>
        <v/>
      </c>
      <c r="G72">
        <f>모티브!G66+고정형!G66+대리점!G66+차량oe!G66</f>
        <v/>
      </c>
      <c r="H72">
        <f>모티브!H66+고정형!H66+대리점!H66+차량oe!H66</f>
        <v/>
      </c>
      <c r="I72">
        <f>모티브!I66+고정형!I66+대리점!I66+차량oe!I66</f>
        <v/>
      </c>
      <c r="J72">
        <f>모티브!J66+고정형!J66+대리점!J66+차량oe!J66</f>
        <v/>
      </c>
      <c r="K72">
        <f>모티브!K66+고정형!K66+대리점!K66+차량oe!K66</f>
        <v/>
      </c>
      <c r="L72">
        <f>모티브!L66+고정형!L66+대리점!L66+차량oe!L66</f>
        <v/>
      </c>
      <c r="M72">
        <f>모티브!M66+고정형!M66+대리점!M66+차량oe!M66</f>
        <v/>
      </c>
      <c r="N72">
        <f>SUM(B72:D72)</f>
        <v/>
      </c>
      <c r="O72">
        <f>SUM(E72:G72)</f>
        <v/>
      </c>
      <c r="P72">
        <f>SUM(H72:J72)</f>
        <v/>
      </c>
      <c r="Q72">
        <f>SUM(K72:M72)</f>
        <v/>
      </c>
      <c r="R72">
        <f>SUM(N72:O72)</f>
        <v/>
      </c>
      <c r="S72">
        <f>SUM(P72:Q72)</f>
        <v/>
      </c>
      <c r="T72">
        <f>R72+S72</f>
        <v/>
      </c>
    </row>
    <row r="73">
      <c r="A73" t="inlineStr">
        <is>
          <t xml:space="preserve"> 교육훈련비</t>
        </is>
      </c>
      <c r="B73">
        <f>모티브!B67+고정형!B67+대리점!B67+차량oe!B67</f>
        <v/>
      </c>
      <c r="C73">
        <f>모티브!C67+고정형!C67+대리점!C67+차량oe!C67</f>
        <v/>
      </c>
      <c r="D73">
        <f>모티브!D67+고정형!D67+대리점!D67+차량oe!D67</f>
        <v/>
      </c>
      <c r="E73">
        <f>모티브!E67+고정형!E67+대리점!E67+차량oe!E67</f>
        <v/>
      </c>
      <c r="F73">
        <f>모티브!F67+고정형!F67+대리점!F67+차량oe!F67</f>
        <v/>
      </c>
      <c r="G73">
        <f>모티브!G67+고정형!G67+대리점!G67+차량oe!G67</f>
        <v/>
      </c>
      <c r="H73">
        <f>모티브!H67+고정형!H67+대리점!H67+차량oe!H67</f>
        <v/>
      </c>
      <c r="I73">
        <f>모티브!I67+고정형!I67+대리점!I67+차량oe!I67</f>
        <v/>
      </c>
      <c r="J73">
        <f>모티브!J67+고정형!J67+대리점!J67+차량oe!J67</f>
        <v/>
      </c>
      <c r="K73">
        <f>모티브!K67+고정형!K67+대리점!K67+차량oe!K67</f>
        <v/>
      </c>
      <c r="L73">
        <f>모티브!L67+고정형!L67+대리점!L67+차량oe!L67</f>
        <v/>
      </c>
      <c r="M73">
        <f>모티브!M67+고정형!M67+대리점!M67+차량oe!M67</f>
        <v/>
      </c>
      <c r="N73">
        <f>SUM(B73:D73)</f>
        <v/>
      </c>
      <c r="O73">
        <f>SUM(E73:G73)</f>
        <v/>
      </c>
      <c r="P73">
        <f>SUM(H73:J73)</f>
        <v/>
      </c>
      <c r="Q73">
        <f>SUM(K73:M73)</f>
        <v/>
      </c>
      <c r="R73">
        <f>SUM(N73:O73)</f>
        <v/>
      </c>
      <c r="S73">
        <f>SUM(P73:Q73)</f>
        <v/>
      </c>
      <c r="T73">
        <f>R73+S73</f>
        <v/>
      </c>
    </row>
    <row r="74">
      <c r="A74" t="inlineStr">
        <is>
          <t xml:space="preserve"> 감가상각비</t>
        </is>
      </c>
      <c r="B74">
        <f>모티브!B68+고정형!B68+대리점!B68+차량oe!B68</f>
        <v/>
      </c>
      <c r="C74">
        <f>모티브!C68+고정형!C68+대리점!C68+차량oe!C68</f>
        <v/>
      </c>
      <c r="D74">
        <f>모티브!D68+고정형!D68+대리점!D68+차량oe!D68</f>
        <v/>
      </c>
      <c r="E74">
        <f>모티브!E68+고정형!E68+대리점!E68+차량oe!E68</f>
        <v/>
      </c>
      <c r="F74">
        <f>모티브!F68+고정형!F68+대리점!F68+차량oe!F68</f>
        <v/>
      </c>
      <c r="G74">
        <f>모티브!G68+고정형!G68+대리점!G68+차량oe!G68</f>
        <v/>
      </c>
      <c r="H74">
        <f>모티브!H68+고정형!H68+대리점!H68+차량oe!H68</f>
        <v/>
      </c>
      <c r="I74">
        <f>모티브!I68+고정형!I68+대리점!I68+차량oe!I68</f>
        <v/>
      </c>
      <c r="J74">
        <f>모티브!J68+고정형!J68+대리점!J68+차량oe!J68</f>
        <v/>
      </c>
      <c r="K74">
        <f>모티브!K68+고정형!K68+대리점!K68+차량oe!K68</f>
        <v/>
      </c>
      <c r="L74">
        <f>모티브!L68+고정형!L68+대리점!L68+차량oe!L68</f>
        <v/>
      </c>
      <c r="M74">
        <f>모티브!M68+고정형!M68+대리점!M68+차량oe!M68</f>
        <v/>
      </c>
      <c r="N74">
        <f>SUM(B74:D74)</f>
        <v/>
      </c>
      <c r="O74">
        <f>SUM(E74:G74)</f>
        <v/>
      </c>
      <c r="P74">
        <f>SUM(H74:J74)</f>
        <v/>
      </c>
      <c r="Q74">
        <f>SUM(K74:M74)</f>
        <v/>
      </c>
      <c r="R74">
        <f>SUM(N74:O74)</f>
        <v/>
      </c>
      <c r="S74">
        <f>SUM(P74:Q74)</f>
        <v/>
      </c>
      <c r="T74">
        <f>R74+S74</f>
        <v/>
      </c>
    </row>
    <row r="75">
      <c r="A75" t="inlineStr">
        <is>
          <t xml:space="preserve"> 무형자산상각비</t>
        </is>
      </c>
      <c r="B75">
        <f>모티브!B69+고정형!B69+대리점!B69+차량oe!B69</f>
        <v/>
      </c>
      <c r="C75">
        <f>모티브!C69+고정형!C69+대리점!C69+차량oe!C69</f>
        <v/>
      </c>
      <c r="D75">
        <f>모티브!D69+고정형!D69+대리점!D69+차량oe!D69</f>
        <v/>
      </c>
      <c r="E75">
        <f>모티브!E69+고정형!E69+대리점!E69+차량oe!E69</f>
        <v/>
      </c>
      <c r="F75">
        <f>모티브!F69+고정형!F69+대리점!F69+차량oe!F69</f>
        <v/>
      </c>
      <c r="G75">
        <f>모티브!G69+고정형!G69+대리점!G69+차량oe!G69</f>
        <v/>
      </c>
      <c r="H75">
        <f>모티브!H69+고정형!H69+대리점!H69+차량oe!H69</f>
        <v/>
      </c>
      <c r="I75">
        <f>모티브!I69+고정형!I69+대리점!I69+차량oe!I69</f>
        <v/>
      </c>
      <c r="J75">
        <f>모티브!J69+고정형!J69+대리점!J69+차량oe!J69</f>
        <v/>
      </c>
      <c r="K75">
        <f>모티브!K69+고정형!K69+대리점!K69+차량oe!K69</f>
        <v/>
      </c>
      <c r="L75">
        <f>모티브!L69+고정형!L69+대리점!L69+차량oe!L69</f>
        <v/>
      </c>
      <c r="M75">
        <f>모티브!M69+고정형!M69+대리점!M69+차량oe!M69</f>
        <v/>
      </c>
      <c r="N75">
        <f>SUM(B75:D75)</f>
        <v/>
      </c>
      <c r="O75">
        <f>SUM(E75:G75)</f>
        <v/>
      </c>
      <c r="P75">
        <f>SUM(H75:J75)</f>
        <v/>
      </c>
      <c r="Q75">
        <f>SUM(K75:M75)</f>
        <v/>
      </c>
      <c r="R75">
        <f>SUM(N75:O75)</f>
        <v/>
      </c>
      <c r="S75">
        <f>SUM(P75:Q75)</f>
        <v/>
      </c>
      <c r="T75">
        <f>R75+S75</f>
        <v/>
      </c>
    </row>
    <row r="76">
      <c r="A76" t="inlineStr">
        <is>
          <t xml:space="preserve"> 수선유지비</t>
        </is>
      </c>
      <c r="B76">
        <f>모티브!B70+고정형!B70+대리점!B70+차량oe!B70</f>
        <v/>
      </c>
      <c r="C76">
        <f>모티브!C70+고정형!C70+대리점!C70+차량oe!C70</f>
        <v/>
      </c>
      <c r="D76">
        <f>모티브!D70+고정형!D70+대리점!D70+차량oe!D70</f>
        <v/>
      </c>
      <c r="E76">
        <f>모티브!E70+고정형!E70+대리점!E70+차량oe!E70</f>
        <v/>
      </c>
      <c r="F76">
        <f>모티브!F70+고정형!F70+대리점!F70+차량oe!F70</f>
        <v/>
      </c>
      <c r="G76">
        <f>모티브!G70+고정형!G70+대리점!G70+차량oe!G70</f>
        <v/>
      </c>
      <c r="H76">
        <f>모티브!H70+고정형!H70+대리점!H70+차량oe!H70</f>
        <v/>
      </c>
      <c r="I76">
        <f>모티브!I70+고정형!I70+대리점!I70+차량oe!I70</f>
        <v/>
      </c>
      <c r="J76">
        <f>모티브!J70+고정형!J70+대리점!J70+차량oe!J70</f>
        <v/>
      </c>
      <c r="K76">
        <f>모티브!K70+고정형!K70+대리점!K70+차량oe!K70</f>
        <v/>
      </c>
      <c r="L76">
        <f>모티브!L70+고정형!L70+대리점!L70+차량oe!L70</f>
        <v/>
      </c>
      <c r="M76">
        <f>모티브!M70+고정형!M70+대리점!M70+차량oe!M70</f>
        <v/>
      </c>
      <c r="N76">
        <f>SUM(B76:D76)</f>
        <v/>
      </c>
      <c r="O76">
        <f>SUM(E76:G76)</f>
        <v/>
      </c>
      <c r="P76">
        <f>SUM(H76:J76)</f>
        <v/>
      </c>
      <c r="Q76">
        <f>SUM(K76:M76)</f>
        <v/>
      </c>
      <c r="R76">
        <f>SUM(N76:O76)</f>
        <v/>
      </c>
      <c r="S76">
        <f>SUM(P76:Q76)</f>
        <v/>
      </c>
      <c r="T76">
        <f>R76+S76</f>
        <v/>
      </c>
    </row>
    <row r="77">
      <c r="A77" t="inlineStr">
        <is>
          <t xml:space="preserve"> 보험료</t>
        </is>
      </c>
      <c r="B77">
        <f>모티브!B71+고정형!B71+대리점!B71+차량oe!B71</f>
        <v/>
      </c>
      <c r="C77">
        <f>모티브!C71+고정형!C71+대리점!C71+차량oe!C71</f>
        <v/>
      </c>
      <c r="D77">
        <f>모티브!D71+고정형!D71+대리점!D71+차량oe!D71</f>
        <v/>
      </c>
      <c r="E77">
        <f>모티브!E71+고정형!E71+대리점!E71+차량oe!E71</f>
        <v/>
      </c>
      <c r="F77">
        <f>모티브!F71+고정형!F71+대리점!F71+차량oe!F71</f>
        <v/>
      </c>
      <c r="G77">
        <f>모티브!G71+고정형!G71+대리점!G71+차량oe!G71</f>
        <v/>
      </c>
      <c r="H77">
        <f>모티브!H71+고정형!H71+대리점!H71+차량oe!H71</f>
        <v/>
      </c>
      <c r="I77">
        <f>모티브!I71+고정형!I71+대리점!I71+차량oe!I71</f>
        <v/>
      </c>
      <c r="J77">
        <f>모티브!J71+고정형!J71+대리점!J71+차량oe!J71</f>
        <v/>
      </c>
      <c r="K77">
        <f>모티브!K71+고정형!K71+대리점!K71+차량oe!K71</f>
        <v/>
      </c>
      <c r="L77">
        <f>모티브!L71+고정형!L71+대리점!L71+차량oe!L71</f>
        <v/>
      </c>
      <c r="M77">
        <f>모티브!M71+고정형!M71+대리점!M71+차량oe!M71</f>
        <v/>
      </c>
      <c r="N77">
        <f>SUM(B77:D77)</f>
        <v/>
      </c>
      <c r="O77">
        <f>SUM(E77:G77)</f>
        <v/>
      </c>
      <c r="P77">
        <f>SUM(H77:J77)</f>
        <v/>
      </c>
      <c r="Q77">
        <f>SUM(K77:M77)</f>
        <v/>
      </c>
      <c r="R77">
        <f>SUM(N77:O77)</f>
        <v/>
      </c>
      <c r="S77">
        <f>SUM(P77:Q77)</f>
        <v/>
      </c>
      <c r="T77">
        <f>R77+S77</f>
        <v/>
      </c>
    </row>
    <row r="78">
      <c r="A78" t="inlineStr">
        <is>
          <t xml:space="preserve"> 회의비</t>
        </is>
      </c>
      <c r="B78">
        <f>모티브!B72+고정형!B72+대리점!B72+차량oe!B72</f>
        <v/>
      </c>
      <c r="C78">
        <f>모티브!C72+고정형!C72+대리점!C72+차량oe!C72</f>
        <v/>
      </c>
      <c r="D78">
        <f>모티브!D72+고정형!D72+대리점!D72+차량oe!D72</f>
        <v/>
      </c>
      <c r="E78">
        <f>모티브!E72+고정형!E72+대리점!E72+차량oe!E72</f>
        <v/>
      </c>
      <c r="F78">
        <f>모티브!F72+고정형!F72+대리점!F72+차량oe!F72</f>
        <v/>
      </c>
      <c r="G78">
        <f>모티브!G72+고정형!G72+대리점!G72+차량oe!G72</f>
        <v/>
      </c>
      <c r="H78">
        <f>모티브!H72+고정형!H72+대리점!H72+차량oe!H72</f>
        <v/>
      </c>
      <c r="I78">
        <f>모티브!I72+고정형!I72+대리점!I72+차량oe!I72</f>
        <v/>
      </c>
      <c r="J78">
        <f>모티브!J72+고정형!J72+대리점!J72+차량oe!J72</f>
        <v/>
      </c>
      <c r="K78">
        <f>모티브!K72+고정형!K72+대리점!K72+차량oe!K72</f>
        <v/>
      </c>
      <c r="L78">
        <f>모티브!L72+고정형!L72+대리점!L72+차량oe!L72</f>
        <v/>
      </c>
      <c r="M78">
        <f>모티브!M72+고정형!M72+대리점!M72+차량oe!M72</f>
        <v/>
      </c>
      <c r="N78">
        <f>SUM(B78:D78)</f>
        <v/>
      </c>
      <c r="O78">
        <f>SUM(E78:G78)</f>
        <v/>
      </c>
      <c r="P78">
        <f>SUM(H78:J78)</f>
        <v/>
      </c>
      <c r="Q78">
        <f>SUM(K78:M78)</f>
        <v/>
      </c>
      <c r="R78">
        <f>SUM(N78:O78)</f>
        <v/>
      </c>
      <c r="S78">
        <f>SUM(P78:Q78)</f>
        <v/>
      </c>
      <c r="T78">
        <f>R78+S78</f>
        <v/>
      </c>
    </row>
    <row r="79">
      <c r="A79" t="inlineStr">
        <is>
          <t xml:space="preserve"> 시험설치비(A)</t>
        </is>
      </c>
      <c r="B79">
        <f>모티브!B73+고정형!B73+대리점!B73+차량oe!B73</f>
        <v/>
      </c>
      <c r="C79">
        <f>모티브!C73+고정형!C73+대리점!C73+차량oe!C73</f>
        <v/>
      </c>
      <c r="D79">
        <f>모티브!D73+고정형!D73+대리점!D73+차량oe!D73</f>
        <v/>
      </c>
      <c r="E79">
        <f>모티브!E73+고정형!E73+대리점!E73+차량oe!E73</f>
        <v/>
      </c>
      <c r="F79">
        <f>모티브!F73+고정형!F73+대리점!F73+차량oe!F73</f>
        <v/>
      </c>
      <c r="G79">
        <f>모티브!G73+고정형!G73+대리점!G73+차량oe!G73</f>
        <v/>
      </c>
      <c r="H79">
        <f>모티브!H73+고정형!H73+대리점!H73+차량oe!H73</f>
        <v/>
      </c>
      <c r="I79">
        <f>모티브!I73+고정형!I73+대리점!I73+차량oe!I73</f>
        <v/>
      </c>
      <c r="J79">
        <f>모티브!J73+고정형!J73+대리점!J73+차량oe!J73</f>
        <v/>
      </c>
      <c r="K79">
        <f>모티브!K73+고정형!K73+대리점!K73+차량oe!K73</f>
        <v/>
      </c>
      <c r="L79">
        <f>모티브!L73+고정형!L73+대리점!L73+차량oe!L73</f>
        <v/>
      </c>
      <c r="M79">
        <f>모티브!M73+고정형!M73+대리점!M73+차량oe!M73</f>
        <v/>
      </c>
      <c r="N79">
        <f>SUM(B79:D79)</f>
        <v/>
      </c>
      <c r="O79">
        <f>SUM(E79:G79)</f>
        <v/>
      </c>
      <c r="P79">
        <f>SUM(H79:J79)</f>
        <v/>
      </c>
      <c r="Q79">
        <f>SUM(K79:M79)</f>
        <v/>
      </c>
      <c r="R79">
        <f>SUM(N79:O79)</f>
        <v/>
      </c>
      <c r="S79">
        <f>SUM(P79:Q79)</f>
        <v/>
      </c>
      <c r="T79">
        <f>R79+S79</f>
        <v/>
      </c>
    </row>
    <row r="80">
      <c r="A80" t="inlineStr">
        <is>
          <t xml:space="preserve"> 경상연구개발비</t>
        </is>
      </c>
      <c r="B80">
        <f>모티브!B74+고정형!B74+대리점!B74+차량oe!B74</f>
        <v/>
      </c>
      <c r="C80">
        <f>모티브!C74+고정형!C74+대리점!C74+차량oe!C74</f>
        <v/>
      </c>
      <c r="D80">
        <f>모티브!D74+고정형!D74+대리점!D74+차량oe!D74</f>
        <v/>
      </c>
      <c r="E80">
        <f>모티브!E74+고정형!E74+대리점!E74+차량oe!E74</f>
        <v/>
      </c>
      <c r="F80">
        <f>모티브!F74+고정형!F74+대리점!F74+차량oe!F74</f>
        <v/>
      </c>
      <c r="G80">
        <f>모티브!G74+고정형!G74+대리점!G74+차량oe!G74</f>
        <v/>
      </c>
      <c r="H80">
        <f>모티브!H74+고정형!H74+대리점!H74+차량oe!H74</f>
        <v/>
      </c>
      <c r="I80">
        <f>모티브!I74+고정형!I74+대리점!I74+차량oe!I74</f>
        <v/>
      </c>
      <c r="J80">
        <f>모티브!J74+고정형!J74+대리점!J74+차량oe!J74</f>
        <v/>
      </c>
      <c r="K80">
        <f>모티브!K74+고정형!K74+대리점!K74+차량oe!K74</f>
        <v/>
      </c>
      <c r="L80">
        <f>모티브!L74+고정형!L74+대리점!L74+차량oe!L74</f>
        <v/>
      </c>
      <c r="M80">
        <f>모티브!M74+고정형!M74+대리점!M74+차량oe!M74</f>
        <v/>
      </c>
      <c r="N80">
        <f>SUM(B80:D80)</f>
        <v/>
      </c>
      <c r="O80">
        <f>SUM(E80:G80)</f>
        <v/>
      </c>
      <c r="P80">
        <f>SUM(H80:J80)</f>
        <v/>
      </c>
      <c r="Q80">
        <f>SUM(K80:M80)</f>
        <v/>
      </c>
      <c r="R80">
        <f>SUM(N80:O80)</f>
        <v/>
      </c>
      <c r="S80">
        <f>SUM(P80:Q80)</f>
        <v/>
      </c>
      <c r="T80">
        <f>R80+S80</f>
        <v/>
      </c>
    </row>
    <row r="81">
      <c r="A81" t="inlineStr">
        <is>
          <t xml:space="preserve"> 연구개발비(국책과제</t>
        </is>
      </c>
      <c r="B81">
        <f>모티브!B75+고정형!B75+대리점!B75+차량oe!B75</f>
        <v/>
      </c>
      <c r="C81">
        <f>모티브!C75+고정형!C75+대리점!C75+차량oe!C75</f>
        <v/>
      </c>
      <c r="D81">
        <f>모티브!D75+고정형!D75+대리점!D75+차량oe!D75</f>
        <v/>
      </c>
      <c r="E81">
        <f>모티브!E75+고정형!E75+대리점!E75+차량oe!E75</f>
        <v/>
      </c>
      <c r="F81">
        <f>모티브!F75+고정형!F75+대리점!F75+차량oe!F75</f>
        <v/>
      </c>
      <c r="G81">
        <f>모티브!G75+고정형!G75+대리점!G75+차량oe!G75</f>
        <v/>
      </c>
      <c r="H81">
        <f>모티브!H75+고정형!H75+대리점!H75+차량oe!H75</f>
        <v/>
      </c>
      <c r="I81">
        <f>모티브!I75+고정형!I75+대리점!I75+차량oe!I75</f>
        <v/>
      </c>
      <c r="J81">
        <f>모티브!J75+고정형!J75+대리점!J75+차량oe!J75</f>
        <v/>
      </c>
      <c r="K81">
        <f>모티브!K75+고정형!K75+대리점!K75+차량oe!K75</f>
        <v/>
      </c>
      <c r="L81">
        <f>모티브!L75+고정형!L75+대리점!L75+차량oe!L75</f>
        <v/>
      </c>
      <c r="M81">
        <f>모티브!M75+고정형!M75+대리점!M75+차량oe!M75</f>
        <v/>
      </c>
      <c r="N81">
        <f>SUM(B81:D81)</f>
        <v/>
      </c>
      <c r="O81">
        <f>SUM(E81:G81)</f>
        <v/>
      </c>
      <c r="P81">
        <f>SUM(H81:J81)</f>
        <v/>
      </c>
      <c r="Q81">
        <f>SUM(K81:M81)</f>
        <v/>
      </c>
      <c r="R81">
        <f>SUM(N81:O81)</f>
        <v/>
      </c>
      <c r="S81">
        <f>SUM(P81:Q81)</f>
        <v/>
      </c>
      <c r="T81">
        <f>R81+S81</f>
        <v/>
      </c>
    </row>
    <row r="82">
      <c r="A82" t="inlineStr">
        <is>
          <t xml:space="preserve"> 판매보증비</t>
        </is>
      </c>
      <c r="B82">
        <f>모티브!B76+고정형!B76+대리점!B76+차량oe!B76</f>
        <v/>
      </c>
      <c r="C82">
        <f>모티브!C76+고정형!C76+대리점!C76+차량oe!C76</f>
        <v/>
      </c>
      <c r="D82">
        <f>모티브!D76+고정형!D76+대리점!D76+차량oe!D76</f>
        <v/>
      </c>
      <c r="E82">
        <f>모티브!E76+고정형!E76+대리점!E76+차량oe!E76</f>
        <v/>
      </c>
      <c r="F82">
        <f>모티브!F76+고정형!F76+대리점!F76+차량oe!F76</f>
        <v/>
      </c>
      <c r="G82">
        <f>모티브!G76+고정형!G76+대리점!G76+차량oe!G76</f>
        <v/>
      </c>
      <c r="H82">
        <f>모티브!H76+고정형!H76+대리점!H76+차량oe!H76</f>
        <v/>
      </c>
      <c r="I82">
        <f>모티브!I76+고정형!I76+대리점!I76+차량oe!I76</f>
        <v/>
      </c>
      <c r="J82">
        <f>모티브!J76+고정형!J76+대리점!J76+차량oe!J76</f>
        <v/>
      </c>
      <c r="K82">
        <f>모티브!K76+고정형!K76+대리점!K76+차량oe!K76</f>
        <v/>
      </c>
      <c r="L82">
        <f>모티브!L76+고정형!L76+대리점!L76+차량oe!L76</f>
        <v/>
      </c>
      <c r="M82">
        <f>모티브!M76+고정형!M76+대리점!M76+차량oe!M76</f>
        <v/>
      </c>
      <c r="N82">
        <f>SUM(B82:D82)</f>
        <v/>
      </c>
      <c r="O82">
        <f>SUM(E82:G82)</f>
        <v/>
      </c>
      <c r="P82">
        <f>SUM(H82:J82)</f>
        <v/>
      </c>
      <c r="Q82">
        <f>SUM(K82:M82)</f>
        <v/>
      </c>
      <c r="R82">
        <f>SUM(N82:O82)</f>
        <v/>
      </c>
      <c r="S82">
        <f>SUM(P82:Q82)</f>
        <v/>
      </c>
      <c r="T82">
        <f>R82+S82</f>
        <v/>
      </c>
    </row>
    <row r="83">
      <c r="A83" t="inlineStr">
        <is>
          <t xml:space="preserve"> 대손충당금환입</t>
        </is>
      </c>
      <c r="B83">
        <f>모티브!B77+고정형!B77+대리점!B77+차량oe!B77</f>
        <v/>
      </c>
      <c r="C83">
        <f>모티브!C77+고정형!C77+대리점!C77+차량oe!C77</f>
        <v/>
      </c>
      <c r="D83">
        <f>모티브!D77+고정형!D77+대리점!D77+차량oe!D77</f>
        <v/>
      </c>
      <c r="E83">
        <f>모티브!E77+고정형!E77+대리점!E77+차량oe!E77</f>
        <v/>
      </c>
      <c r="F83">
        <f>모티브!F77+고정형!F77+대리점!F77+차량oe!F77</f>
        <v/>
      </c>
      <c r="G83">
        <f>모티브!G77+고정형!G77+대리점!G77+차량oe!G77</f>
        <v/>
      </c>
      <c r="H83">
        <f>모티브!H77+고정형!H77+대리점!H77+차량oe!H77</f>
        <v/>
      </c>
      <c r="I83">
        <f>모티브!I77+고정형!I77+대리점!I77+차량oe!I77</f>
        <v/>
      </c>
      <c r="J83">
        <f>모티브!J77+고정형!J77+대리점!J77+차량oe!J77</f>
        <v/>
      </c>
      <c r="K83">
        <f>모티브!K77+고정형!K77+대리점!K77+차량oe!K77</f>
        <v/>
      </c>
      <c r="L83">
        <f>모티브!L77+고정형!L77+대리점!L77+차량oe!L77</f>
        <v/>
      </c>
      <c r="M83">
        <f>모티브!M77+고정형!M77+대리점!M77+차량oe!M77</f>
        <v/>
      </c>
      <c r="N83">
        <f>SUM(B83:D83)</f>
        <v/>
      </c>
      <c r="O83">
        <f>SUM(E83:G83)</f>
        <v/>
      </c>
      <c r="P83">
        <f>SUM(H83:J83)</f>
        <v/>
      </c>
      <c r="Q83">
        <f>SUM(K83:M83)</f>
        <v/>
      </c>
      <c r="R83">
        <f>SUM(N83:O83)</f>
        <v/>
      </c>
      <c r="S83">
        <f>SUM(P83:Q83)</f>
        <v/>
      </c>
      <c r="T83">
        <f>R83+S83</f>
        <v/>
      </c>
    </row>
    <row r="84">
      <c r="A84" t="inlineStr">
        <is>
          <t xml:space="preserve"> 불량제품손실</t>
        </is>
      </c>
      <c r="B84">
        <f>모티브!B78+고정형!B78+대리점!B78+차량oe!B78</f>
        <v/>
      </c>
      <c r="C84">
        <f>모티브!C78+고정형!C78+대리점!C78+차량oe!C78</f>
        <v/>
      </c>
      <c r="D84">
        <f>모티브!D78+고정형!D78+대리점!D78+차량oe!D78</f>
        <v/>
      </c>
      <c r="E84">
        <f>모티브!E78+고정형!E78+대리점!E78+차량oe!E78</f>
        <v/>
      </c>
      <c r="F84">
        <f>모티브!F78+고정형!F78+대리점!F78+차량oe!F78</f>
        <v/>
      </c>
      <c r="G84">
        <f>모티브!G78+고정형!G78+대리점!G78+차량oe!G78</f>
        <v/>
      </c>
      <c r="H84">
        <f>모티브!H78+고정형!H78+대리점!H78+차량oe!H78</f>
        <v/>
      </c>
      <c r="I84">
        <f>모티브!I78+고정형!I78+대리점!I78+차량oe!I78</f>
        <v/>
      </c>
      <c r="J84">
        <f>모티브!J78+고정형!J78+대리점!J78+차량oe!J78</f>
        <v/>
      </c>
      <c r="K84">
        <f>모티브!K78+고정형!K78+대리점!K78+차량oe!K78</f>
        <v/>
      </c>
      <c r="L84">
        <f>모티브!L78+고정형!L78+대리점!L78+차량oe!L78</f>
        <v/>
      </c>
      <c r="M84">
        <f>모티브!M78+고정형!M78+대리점!M78+차량oe!M78</f>
        <v/>
      </c>
      <c r="N84">
        <f>SUM(B84:D84)</f>
        <v/>
      </c>
      <c r="O84">
        <f>SUM(E84:G84)</f>
        <v/>
      </c>
      <c r="P84">
        <f>SUM(H84:J84)</f>
        <v/>
      </c>
      <c r="Q84">
        <f>SUM(K84:M84)</f>
        <v/>
      </c>
      <c r="R84">
        <f>SUM(N84:O84)</f>
        <v/>
      </c>
      <c r="S84">
        <f>SUM(P84:Q84)</f>
        <v/>
      </c>
      <c r="T84">
        <f>R84+S84</f>
        <v/>
      </c>
    </row>
    <row r="85">
      <c r="A85" t="inlineStr">
        <is>
          <t xml:space="preserve"> 판관비_기타</t>
        </is>
      </c>
      <c r="B85">
        <f>모티브!B79+고정형!B79+대리점!B79+차량oe!B79</f>
        <v/>
      </c>
      <c r="C85">
        <f>모티브!C79+고정형!C79+대리점!C79+차량oe!C79</f>
        <v/>
      </c>
      <c r="D85">
        <f>모티브!D79+고정형!D79+대리점!D79+차량oe!D79</f>
        <v/>
      </c>
      <c r="E85">
        <f>모티브!E79+고정형!E79+대리점!E79+차량oe!E79</f>
        <v/>
      </c>
      <c r="F85">
        <f>모티브!F79+고정형!F79+대리점!F79+차량oe!F79</f>
        <v/>
      </c>
      <c r="G85">
        <f>모티브!G79+고정형!G79+대리점!G79+차량oe!G79</f>
        <v/>
      </c>
      <c r="H85">
        <f>모티브!H79+고정형!H79+대리점!H79+차량oe!H79</f>
        <v/>
      </c>
      <c r="I85">
        <f>모티브!I79+고정형!I79+대리점!I79+차량oe!I79</f>
        <v/>
      </c>
      <c r="J85">
        <f>모티브!J79+고정형!J79+대리점!J79+차량oe!J79</f>
        <v/>
      </c>
      <c r="K85">
        <f>모티브!K79+고정형!K79+대리점!K79+차량oe!K79</f>
        <v/>
      </c>
      <c r="L85">
        <f>모티브!L79+고정형!L79+대리점!L79+차량oe!L79</f>
        <v/>
      </c>
      <c r="M85">
        <f>모티브!M79+고정형!M79+대리점!M79+차량oe!M79</f>
        <v/>
      </c>
      <c r="N85">
        <f>SUM(B85:D85)</f>
        <v/>
      </c>
      <c r="O85">
        <f>SUM(E85:G85)</f>
        <v/>
      </c>
      <c r="P85">
        <f>SUM(H85:J85)</f>
        <v/>
      </c>
      <c r="Q85">
        <f>SUM(K85:M85)</f>
        <v/>
      </c>
      <c r="R85">
        <f>SUM(N85:O85)</f>
        <v/>
      </c>
      <c r="S85">
        <f>SUM(P85:Q85)</f>
        <v/>
      </c>
      <c r="T85">
        <f>R85+S85</f>
        <v/>
      </c>
    </row>
    <row r="86">
      <c r="A86" t="inlineStr">
        <is>
          <t xml:space="preserve"> 수출비용_해상운임(</t>
        </is>
      </c>
      <c r="B86">
        <f>모티브!B80+고정형!B80+대리점!B80+차량oe!B80</f>
        <v/>
      </c>
      <c r="C86">
        <f>모티브!C80+고정형!C80+대리점!C80+차량oe!C80</f>
        <v/>
      </c>
      <c r="D86">
        <f>모티브!D80+고정형!D80+대리점!D80+차량oe!D80</f>
        <v/>
      </c>
      <c r="E86">
        <f>모티브!E80+고정형!E80+대리점!E80+차량oe!E80</f>
        <v/>
      </c>
      <c r="F86">
        <f>모티브!F80+고정형!F80+대리점!F80+차량oe!F80</f>
        <v/>
      </c>
      <c r="G86">
        <f>모티브!G80+고정형!G80+대리점!G80+차량oe!G80</f>
        <v/>
      </c>
      <c r="H86">
        <f>모티브!H80+고정형!H80+대리점!H80+차량oe!H80</f>
        <v/>
      </c>
      <c r="I86">
        <f>모티브!I80+고정형!I80+대리점!I80+차량oe!I80</f>
        <v/>
      </c>
      <c r="J86">
        <f>모티브!J80+고정형!J80+대리점!J80+차량oe!J80</f>
        <v/>
      </c>
      <c r="K86">
        <f>모티브!K80+고정형!K80+대리점!K80+차량oe!K80</f>
        <v/>
      </c>
      <c r="L86">
        <f>모티브!L80+고정형!L80+대리점!L80+차량oe!L80</f>
        <v/>
      </c>
      <c r="M86">
        <f>모티브!M80+고정형!M80+대리점!M80+차량oe!M80</f>
        <v/>
      </c>
      <c r="N86">
        <f>SUM(B86:D86)</f>
        <v/>
      </c>
      <c r="O86">
        <f>SUM(E86:G86)</f>
        <v/>
      </c>
      <c r="P86">
        <f>SUM(H86:J86)</f>
        <v/>
      </c>
      <c r="Q86">
        <f>SUM(K86:M86)</f>
        <v/>
      </c>
      <c r="R86">
        <f>SUM(N86:O86)</f>
        <v/>
      </c>
      <c r="S86">
        <f>SUM(P86:Q86)</f>
        <v/>
      </c>
      <c r="T86">
        <f>R86+S86</f>
        <v/>
      </c>
    </row>
    <row r="87">
      <c r="A87" t="inlineStr">
        <is>
          <t xml:space="preserve"> 영업이익(A)</t>
        </is>
      </c>
      <c r="B87">
        <f>B47-B48</f>
        <v/>
      </c>
      <c r="C87">
        <f>C47-C48</f>
        <v/>
      </c>
      <c r="D87">
        <f>D47-D48</f>
        <v/>
      </c>
      <c r="E87">
        <f>E47-E48</f>
        <v/>
      </c>
      <c r="F87">
        <f>F47-F48</f>
        <v/>
      </c>
      <c r="G87">
        <f>G47-G48</f>
        <v/>
      </c>
      <c r="H87">
        <f>H47-H48</f>
        <v/>
      </c>
      <c r="I87">
        <f>I47-I48</f>
        <v/>
      </c>
      <c r="J87">
        <f>J47-J48</f>
        <v/>
      </c>
      <c r="K87">
        <f>K47-K48</f>
        <v/>
      </c>
      <c r="L87">
        <f>L47-L48</f>
        <v/>
      </c>
      <c r="M87">
        <f>M47-M48</f>
        <v/>
      </c>
      <c r="N87">
        <f>N47-N48</f>
        <v/>
      </c>
      <c r="O87">
        <f>O47-O48</f>
        <v/>
      </c>
      <c r="P87">
        <f>P47-P48</f>
        <v/>
      </c>
      <c r="Q87">
        <f>Q47-Q48</f>
        <v/>
      </c>
      <c r="R87">
        <f>R47-R48</f>
        <v/>
      </c>
      <c r="S87">
        <f>S47-S48</f>
        <v/>
      </c>
      <c r="T87">
        <f>T47-T48</f>
        <v/>
      </c>
    </row>
    <row r="88">
      <c r="B88">
        <f>IFERROR(B87/B11,0)</f>
        <v/>
      </c>
      <c r="C88">
        <f>IFERROR(C87/C11,0)</f>
        <v/>
      </c>
      <c r="D88">
        <f>IFERROR(D87/D11,0)</f>
        <v/>
      </c>
      <c r="E88">
        <f>IFERROR(E87/E11,0)</f>
        <v/>
      </c>
      <c r="F88">
        <f>IFERROR(F87/F11,0)</f>
        <v/>
      </c>
      <c r="G88">
        <f>IFERROR(G87/G11,0)</f>
        <v/>
      </c>
      <c r="H88">
        <f>IFERROR(H87/H11,0)</f>
        <v/>
      </c>
      <c r="I88">
        <f>IFERROR(I87/I11,0)</f>
        <v/>
      </c>
      <c r="J88">
        <f>IFERROR(J87/J11,0)</f>
        <v/>
      </c>
      <c r="K88">
        <f>IFERROR(K87/K11,0)</f>
        <v/>
      </c>
      <c r="L88">
        <f>IFERROR(L87/L11,0)</f>
        <v/>
      </c>
      <c r="M88">
        <f>IFERROR(M87/M11,0)</f>
        <v/>
      </c>
      <c r="N88">
        <f>IFERROR(N87/N11,0)</f>
        <v/>
      </c>
      <c r="O88">
        <f>IFERROR(O87/O11,0)</f>
        <v/>
      </c>
      <c r="P88">
        <f>IFERROR(P87/P11,0)</f>
        <v/>
      </c>
      <c r="Q88">
        <f>IFERROR(Q87/Q11,0)</f>
        <v/>
      </c>
      <c r="R88">
        <f>IFERROR(R87/R11,0)</f>
        <v/>
      </c>
      <c r="S88">
        <f>IFERROR(S87/S11,0)</f>
        <v/>
      </c>
      <c r="T88">
        <f>IFERROR(T87/T11,0)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 xml:space="preserve"> 1-1) 모티브 연간 손익계산서 (단위 : 백만원)</t>
        </is>
      </c>
    </row>
    <row r="2">
      <c r="T2" t="inlineStr">
        <is>
          <t>(단위 : 대, 백만원)</t>
        </is>
      </c>
    </row>
    <row r="3">
      <c r="A3" s="2" t="inlineStr">
        <is>
          <t>구분</t>
        </is>
      </c>
      <c r="B3" s="2" t="inlineStr">
        <is>
          <t>1월</t>
        </is>
      </c>
      <c r="C3" s="2" t="inlineStr">
        <is>
          <t>2월</t>
        </is>
      </c>
      <c r="D3" s="2" t="inlineStr">
        <is>
          <t>3월</t>
        </is>
      </c>
      <c r="E3" s="2" t="inlineStr">
        <is>
          <t>4월</t>
        </is>
      </c>
      <c r="F3" s="2" t="inlineStr">
        <is>
          <t>5월</t>
        </is>
      </c>
      <c r="G3" s="2" t="inlineStr">
        <is>
          <t>6월</t>
        </is>
      </c>
      <c r="H3" s="2" t="inlineStr">
        <is>
          <t>7월</t>
        </is>
      </c>
      <c r="I3" s="2" t="inlineStr">
        <is>
          <t>8월</t>
        </is>
      </c>
      <c r="J3" s="2" t="inlineStr">
        <is>
          <t>9월</t>
        </is>
      </c>
      <c r="K3" s="2" t="inlineStr">
        <is>
          <t>10월</t>
        </is>
      </c>
      <c r="L3" s="2" t="inlineStr">
        <is>
          <t>11월</t>
        </is>
      </c>
      <c r="M3" s="2" t="inlineStr">
        <is>
          <t>12월</t>
        </is>
      </c>
      <c r="N3" s="2" t="inlineStr">
        <is>
          <t>1/4분기</t>
        </is>
      </c>
      <c r="O3" s="2" t="inlineStr">
        <is>
          <t>2/4분기</t>
        </is>
      </c>
      <c r="P3" s="2" t="inlineStr">
        <is>
          <t>3/4분기</t>
        </is>
      </c>
      <c r="Q3" s="2" t="inlineStr">
        <is>
          <t>4/4분기</t>
        </is>
      </c>
      <c r="R3" s="2" t="inlineStr">
        <is>
          <t>상반기</t>
        </is>
      </c>
      <c r="S3" s="2" t="inlineStr">
        <is>
          <t>하반기</t>
        </is>
      </c>
      <c r="T3" s="2" t="inlineStr">
        <is>
          <t>총계</t>
        </is>
      </c>
    </row>
    <row r="4">
      <c r="A4" t="inlineStr">
        <is>
          <t xml:space="preserve">   매출수량</t>
        </is>
      </c>
      <c r="B4" t="n">
        <v>40611</v>
      </c>
      <c r="C4" t="n">
        <v>34943</v>
      </c>
      <c r="D4" t="n">
        <v>42937</v>
      </c>
      <c r="E4" t="n">
        <v>31582</v>
      </c>
      <c r="F4" t="n">
        <v>32373</v>
      </c>
      <c r="G4" t="n">
        <v>47559</v>
      </c>
      <c r="H4" t="n">
        <v>33084</v>
      </c>
      <c r="I4" t="n">
        <v>41982</v>
      </c>
      <c r="J4" t="n">
        <v>31900</v>
      </c>
      <c r="K4" t="n">
        <v>46627</v>
      </c>
      <c r="L4" t="n">
        <v>37035</v>
      </c>
      <c r="M4" t="n">
        <v>31228</v>
      </c>
      <c r="N4">
        <f>SUM(B4:D4)</f>
        <v/>
      </c>
      <c r="O4">
        <f>SUM(E4:G4)</f>
        <v/>
      </c>
      <c r="P4">
        <f>SUM(H4:J4)</f>
        <v/>
      </c>
      <c r="Q4">
        <f>SUM(K4:M4)</f>
        <v/>
      </c>
      <c r="R4">
        <f>SUM(N4:O4)</f>
        <v/>
      </c>
      <c r="S4">
        <f>SUM(P4:Q4)</f>
        <v/>
      </c>
      <c r="T4">
        <f>R4+S4</f>
        <v/>
      </c>
    </row>
    <row r="5">
      <c r="A5" t="inlineStr">
        <is>
          <t xml:space="preserve"> 매출액(Total)</t>
        </is>
      </c>
      <c r="B5" t="n">
        <v>5852</v>
      </c>
      <c r="C5" t="n">
        <v>7276</v>
      </c>
      <c r="D5" t="n">
        <v>7212</v>
      </c>
      <c r="E5" t="n">
        <v>5786</v>
      </c>
      <c r="F5" t="n">
        <v>6485</v>
      </c>
      <c r="G5" t="n">
        <v>5871</v>
      </c>
      <c r="H5" t="n">
        <v>7757</v>
      </c>
      <c r="I5" t="n">
        <v>7238</v>
      </c>
      <c r="J5" t="n">
        <v>5742</v>
      </c>
      <c r="K5" t="n">
        <v>7816</v>
      </c>
      <c r="L5" t="n">
        <v>6007</v>
      </c>
      <c r="M5" t="n">
        <v>6414</v>
      </c>
      <c r="N5">
        <f>SUM(B5:D5)</f>
        <v/>
      </c>
      <c r="O5">
        <f>SUM(E5:G5)</f>
        <v/>
      </c>
      <c r="P5">
        <f>SUM(H5:J5)</f>
        <v/>
      </c>
      <c r="Q5">
        <f>SUM(K5:M5)</f>
        <v/>
      </c>
      <c r="R5">
        <f>SUM(N5:O5)</f>
        <v/>
      </c>
      <c r="S5">
        <f>SUM(P5:Q5)</f>
        <v/>
      </c>
      <c r="T5">
        <f>R5+S5</f>
        <v/>
      </c>
    </row>
    <row r="6">
      <c r="A6" t="inlineStr">
        <is>
          <t xml:space="preserve"> 매출원가(A)Tot</t>
        </is>
      </c>
      <c r="B6">
        <f>SUM(B8:B40)</f>
        <v/>
      </c>
      <c r="C6">
        <f>SUM(C8:C40)</f>
        <v/>
      </c>
      <c r="D6">
        <f>SUM(D8:D40)</f>
        <v/>
      </c>
      <c r="E6">
        <f>SUM(E8:E40)</f>
        <v/>
      </c>
      <c r="F6">
        <f>SUM(F8:F40)</f>
        <v/>
      </c>
      <c r="G6">
        <f>SUM(G8:G40)</f>
        <v/>
      </c>
      <c r="H6">
        <f>SUM(H8:H40)</f>
        <v/>
      </c>
      <c r="I6">
        <f>SUM(I8:I40)</f>
        <v/>
      </c>
      <c r="J6">
        <f>SUM(J8:J40)</f>
        <v/>
      </c>
      <c r="K6">
        <f>SUM(K8:K40)</f>
        <v/>
      </c>
      <c r="L6">
        <f>SUM(L8:L40)</f>
        <v/>
      </c>
      <c r="M6">
        <f>SUM(M8:M40)</f>
        <v/>
      </c>
      <c r="N6">
        <f>SUM(B6:D6)</f>
        <v/>
      </c>
      <c r="O6">
        <f>SUM(E6:G6)</f>
        <v/>
      </c>
      <c r="P6">
        <f>SUM(H6:J6)</f>
        <v/>
      </c>
      <c r="Q6">
        <f>SUM(K6:M6)</f>
        <v/>
      </c>
      <c r="R6">
        <f>SUM(N6:O6)</f>
        <v/>
      </c>
      <c r="S6">
        <f>SUM(P6:Q6)</f>
        <v/>
      </c>
      <c r="T6">
        <f>R6+S6</f>
        <v/>
      </c>
    </row>
    <row r="7">
      <c r="B7">
        <f>IFERROR(B6/B5,0)</f>
        <v/>
      </c>
      <c r="C7">
        <f>IFERROR(C6/C5,0)</f>
        <v/>
      </c>
      <c r="D7">
        <f>IFERROR(D6/D5,0)</f>
        <v/>
      </c>
      <c r="E7">
        <f>IFERROR(E6/E5,0)</f>
        <v/>
      </c>
      <c r="F7">
        <f>IFERROR(F6/F5,0)</f>
        <v/>
      </c>
      <c r="G7">
        <f>IFERROR(G6/G5,0)</f>
        <v/>
      </c>
      <c r="H7">
        <f>IFERROR(H6/H5,0)</f>
        <v/>
      </c>
      <c r="I7">
        <f>IFERROR(I6/I5,0)</f>
        <v/>
      </c>
      <c r="J7">
        <f>IFERROR(J6/J5,0)</f>
        <v/>
      </c>
      <c r="K7">
        <f>IFERROR(K6/K5,0)</f>
        <v/>
      </c>
      <c r="L7">
        <f>IFERROR(L6/L5,0)</f>
        <v/>
      </c>
      <c r="M7">
        <f>IFERROR(M6/M5,0)</f>
        <v/>
      </c>
      <c r="N7">
        <f>IFERROR(N6/N5,0)</f>
        <v/>
      </c>
      <c r="O7">
        <f>IFERROR(O6/O5,0)</f>
        <v/>
      </c>
      <c r="P7">
        <f>IFERROR(P6/P5,0)</f>
        <v/>
      </c>
      <c r="Q7">
        <f>IFERROR(Q6/Q5,0)</f>
        <v/>
      </c>
      <c r="R7">
        <f>IFERROR(R6/R5,0)</f>
        <v/>
      </c>
      <c r="S7">
        <f>IFERROR(S6/S5,0)</f>
        <v/>
      </c>
      <c r="T7">
        <f>IFERROR(T6/T5,0)</f>
        <v/>
      </c>
    </row>
    <row r="8">
      <c r="A8" t="inlineStr">
        <is>
          <t xml:space="preserve"> 상품매출원가</t>
        </is>
      </c>
      <c r="B8" t="n">
        <v>185</v>
      </c>
      <c r="C8" t="n">
        <v>194</v>
      </c>
      <c r="D8" t="n">
        <v>221</v>
      </c>
      <c r="E8" t="n">
        <v>159</v>
      </c>
      <c r="F8" t="n">
        <v>189</v>
      </c>
      <c r="G8" t="n">
        <v>203</v>
      </c>
      <c r="H8" t="n">
        <v>232</v>
      </c>
      <c r="I8" t="n">
        <v>252</v>
      </c>
      <c r="J8" t="n">
        <v>153</v>
      </c>
      <c r="K8" t="n">
        <v>243</v>
      </c>
      <c r="L8" t="n">
        <v>200</v>
      </c>
      <c r="M8" t="n">
        <v>215</v>
      </c>
      <c r="N8">
        <f>SUM(B8:D8)</f>
        <v/>
      </c>
      <c r="O8">
        <f>SUM(E8:G8)</f>
        <v/>
      </c>
      <c r="P8">
        <f>SUM(H8:J8)</f>
        <v/>
      </c>
      <c r="Q8">
        <f>SUM(K8:M8)</f>
        <v/>
      </c>
      <c r="R8">
        <f>SUM(N8:O8)</f>
        <v/>
      </c>
      <c r="S8">
        <f>SUM(P8:Q8)</f>
        <v/>
      </c>
      <c r="T8">
        <f>R8+S8</f>
        <v/>
      </c>
    </row>
    <row r="9">
      <c r="A9" t="inlineStr">
        <is>
          <t xml:space="preserve"> 재고실사차이</t>
        </is>
      </c>
      <c r="B9" t="n">
        <v>35</v>
      </c>
      <c r="C9" t="n">
        <v>43</v>
      </c>
      <c r="D9" t="n">
        <v>45</v>
      </c>
      <c r="E9" t="n">
        <v>39</v>
      </c>
      <c r="F9" t="n">
        <v>35</v>
      </c>
      <c r="G9" t="n">
        <v>32</v>
      </c>
      <c r="H9" t="n">
        <v>45</v>
      </c>
      <c r="I9" t="n">
        <v>48</v>
      </c>
      <c r="J9" t="n">
        <v>31</v>
      </c>
      <c r="K9" t="n">
        <v>52</v>
      </c>
      <c r="L9" t="n">
        <v>35</v>
      </c>
      <c r="M9" t="n">
        <v>41</v>
      </c>
      <c r="N9">
        <f>SUM(B9:D9)</f>
        <v/>
      </c>
      <c r="O9">
        <f>SUM(E9:G9)</f>
        <v/>
      </c>
      <c r="P9">
        <f>SUM(H9:J9)</f>
        <v/>
      </c>
      <c r="Q9">
        <f>SUM(K9:M9)</f>
        <v/>
      </c>
      <c r="R9">
        <f>SUM(N9:O9)</f>
        <v/>
      </c>
      <c r="S9">
        <f>SUM(P9:Q9)</f>
        <v/>
      </c>
      <c r="T9">
        <f>R9+S9</f>
        <v/>
      </c>
    </row>
    <row r="10">
      <c r="A10" t="inlineStr">
        <is>
          <t xml:space="preserve"> 환불부채</t>
        </is>
      </c>
      <c r="B10" t="n">
        <v>189</v>
      </c>
      <c r="C10" t="n">
        <v>220</v>
      </c>
      <c r="D10" t="n">
        <v>236</v>
      </c>
      <c r="E10" t="n">
        <v>198</v>
      </c>
      <c r="F10" t="n">
        <v>190</v>
      </c>
      <c r="G10" t="n">
        <v>204</v>
      </c>
      <c r="H10" t="n">
        <v>228</v>
      </c>
      <c r="I10" t="n">
        <v>230</v>
      </c>
      <c r="J10" t="n">
        <v>176</v>
      </c>
      <c r="K10" t="n">
        <v>220</v>
      </c>
      <c r="L10" t="n">
        <v>173</v>
      </c>
      <c r="M10" t="n">
        <v>211</v>
      </c>
      <c r="N10">
        <f>SUM(B10:D10)</f>
        <v/>
      </c>
      <c r="O10">
        <f>SUM(E10:G10)</f>
        <v/>
      </c>
      <c r="P10">
        <f>SUM(H10:J10)</f>
        <v/>
      </c>
      <c r="Q10">
        <f>SUM(K10:M10)</f>
        <v/>
      </c>
      <c r="R10">
        <f>SUM(N10:O10)</f>
        <v/>
      </c>
      <c r="S10">
        <f>SUM(P10:Q10)</f>
        <v/>
      </c>
      <c r="T10">
        <f>R10+S10</f>
        <v/>
      </c>
    </row>
    <row r="11">
      <c r="A11" t="inlineStr">
        <is>
          <t xml:space="preserve"> 평가손실</t>
        </is>
      </c>
      <c r="B11" t="n">
        <v>32</v>
      </c>
      <c r="C11" t="n">
        <v>46</v>
      </c>
      <c r="D11" t="n">
        <v>41</v>
      </c>
      <c r="E11" t="n">
        <v>29</v>
      </c>
      <c r="F11" t="n">
        <v>36</v>
      </c>
      <c r="G11" t="n">
        <v>31</v>
      </c>
      <c r="H11" t="n">
        <v>39</v>
      </c>
      <c r="I11" t="n">
        <v>40</v>
      </c>
      <c r="J11" t="n">
        <v>33</v>
      </c>
      <c r="K11" t="n">
        <v>47</v>
      </c>
      <c r="L11" t="n">
        <v>39</v>
      </c>
      <c r="M11" t="n">
        <v>38</v>
      </c>
      <c r="N11">
        <f>SUM(B11:D11)</f>
        <v/>
      </c>
      <c r="O11">
        <f>SUM(E11:G11)</f>
        <v/>
      </c>
      <c r="P11">
        <f>SUM(H11:J11)</f>
        <v/>
      </c>
      <c r="Q11">
        <f>SUM(K11:M11)</f>
        <v/>
      </c>
      <c r="R11">
        <f>SUM(N11:O11)</f>
        <v/>
      </c>
      <c r="S11">
        <f>SUM(P11:Q11)</f>
        <v/>
      </c>
      <c r="T11">
        <f>R11+S11</f>
        <v/>
      </c>
    </row>
    <row r="12">
      <c r="A12" t="inlineStr">
        <is>
          <t xml:space="preserve"> 관세환급</t>
        </is>
      </c>
      <c r="B12" t="n">
        <v>77</v>
      </c>
      <c r="C12" t="n">
        <v>91</v>
      </c>
      <c r="D12" t="n">
        <v>86</v>
      </c>
      <c r="E12" t="n">
        <v>71</v>
      </c>
      <c r="F12" t="n">
        <v>93</v>
      </c>
      <c r="G12" t="n">
        <v>68</v>
      </c>
      <c r="H12" t="n">
        <v>117</v>
      </c>
      <c r="I12" t="n">
        <v>90</v>
      </c>
      <c r="J12" t="n">
        <v>73</v>
      </c>
      <c r="K12" t="n">
        <v>95</v>
      </c>
      <c r="L12" t="n">
        <v>83</v>
      </c>
      <c r="M12" t="n">
        <v>91</v>
      </c>
      <c r="N12">
        <f>SUM(B12:D12)</f>
        <v/>
      </c>
      <c r="O12">
        <f>SUM(E12:G12)</f>
        <v/>
      </c>
      <c r="P12">
        <f>SUM(H12:J12)</f>
        <v/>
      </c>
      <c r="Q12">
        <f>SUM(K12:M12)</f>
        <v/>
      </c>
      <c r="R12">
        <f>SUM(N12:O12)</f>
        <v/>
      </c>
      <c r="S12">
        <f>SUM(P12:Q12)</f>
        <v/>
      </c>
      <c r="T12">
        <f>R12+S12</f>
        <v/>
      </c>
    </row>
    <row r="13">
      <c r="A13" t="inlineStr">
        <is>
          <t xml:space="preserve"> 매출원가조정기타</t>
        </is>
      </c>
      <c r="B13" t="n">
        <v>162</v>
      </c>
      <c r="C13" t="n">
        <v>190</v>
      </c>
      <c r="D13" t="n">
        <v>234</v>
      </c>
      <c r="E13" t="n">
        <v>193</v>
      </c>
      <c r="F13" t="n">
        <v>199</v>
      </c>
      <c r="G13" t="n">
        <v>185</v>
      </c>
      <c r="H13" t="n">
        <v>225</v>
      </c>
      <c r="I13" t="n">
        <v>236</v>
      </c>
      <c r="J13" t="n">
        <v>191</v>
      </c>
      <c r="K13" t="n">
        <v>242</v>
      </c>
      <c r="L13" t="n">
        <v>179</v>
      </c>
      <c r="M13" t="n">
        <v>182</v>
      </c>
      <c r="N13">
        <f>SUM(B13:D13)</f>
        <v/>
      </c>
      <c r="O13">
        <f>SUM(E13:G13)</f>
        <v/>
      </c>
      <c r="P13">
        <f>SUM(H13:J13)</f>
        <v/>
      </c>
      <c r="Q13">
        <f>SUM(K13:M13)</f>
        <v/>
      </c>
      <c r="R13">
        <f>SUM(N13:O13)</f>
        <v/>
      </c>
      <c r="S13">
        <f>SUM(P13:Q13)</f>
        <v/>
      </c>
      <c r="T13">
        <f>R13+S13</f>
        <v/>
      </c>
    </row>
    <row r="14">
      <c r="A14" t="inlineStr">
        <is>
          <t xml:space="preserve"> 원재료비_순연</t>
        </is>
      </c>
      <c r="B14" t="n">
        <v>54</v>
      </c>
      <c r="C14" t="n">
        <v>69</v>
      </c>
      <c r="D14" t="n">
        <v>67</v>
      </c>
      <c r="E14" t="n">
        <v>50</v>
      </c>
      <c r="F14" t="n">
        <v>71</v>
      </c>
      <c r="G14" t="n">
        <v>55</v>
      </c>
      <c r="H14" t="n">
        <v>65</v>
      </c>
      <c r="I14" t="n">
        <v>71</v>
      </c>
      <c r="J14" t="n">
        <v>48</v>
      </c>
      <c r="K14" t="n">
        <v>76</v>
      </c>
      <c r="L14" t="n">
        <v>58</v>
      </c>
      <c r="M14" t="n">
        <v>70</v>
      </c>
      <c r="N14">
        <f>SUM(B14:D14)</f>
        <v/>
      </c>
      <c r="O14">
        <f>SUM(E14:G14)</f>
        <v/>
      </c>
      <c r="P14">
        <f>SUM(H14:J14)</f>
        <v/>
      </c>
      <c r="Q14">
        <f>SUM(K14:M14)</f>
        <v/>
      </c>
      <c r="R14">
        <f>SUM(N14:O14)</f>
        <v/>
      </c>
      <c r="S14">
        <f>SUM(P14:Q14)</f>
        <v/>
      </c>
      <c r="T14">
        <f>R14+S14</f>
        <v/>
      </c>
    </row>
    <row r="15">
      <c r="A15" t="inlineStr">
        <is>
          <t xml:space="preserve"> 원재료(LOSS_순연)</t>
        </is>
      </c>
      <c r="B15" t="n">
        <v>139</v>
      </c>
      <c r="C15" t="n">
        <v>145</v>
      </c>
      <c r="D15" t="n">
        <v>151</v>
      </c>
      <c r="E15" t="n">
        <v>128</v>
      </c>
      <c r="F15" t="n">
        <v>155</v>
      </c>
      <c r="G15" t="n">
        <v>153</v>
      </c>
      <c r="H15" t="n">
        <v>183</v>
      </c>
      <c r="I15" t="n">
        <v>165</v>
      </c>
      <c r="J15" t="n">
        <v>116</v>
      </c>
      <c r="K15" t="n">
        <v>179</v>
      </c>
      <c r="L15" t="n">
        <v>157</v>
      </c>
      <c r="M15" t="n">
        <v>146</v>
      </c>
      <c r="N15">
        <f>SUM(B15:D15)</f>
        <v/>
      </c>
      <c r="O15">
        <f>SUM(E15:G15)</f>
        <v/>
      </c>
      <c r="P15">
        <f>SUM(H15:J15)</f>
        <v/>
      </c>
      <c r="Q15">
        <f>SUM(K15:M15)</f>
        <v/>
      </c>
      <c r="R15">
        <f>SUM(N15:O15)</f>
        <v/>
      </c>
      <c r="S15">
        <f>SUM(P15:Q15)</f>
        <v/>
      </c>
      <c r="T15">
        <f>R15+S15</f>
        <v/>
      </c>
    </row>
    <row r="16">
      <c r="A16" t="inlineStr">
        <is>
          <t xml:space="preserve"> 원재료비_경연</t>
        </is>
      </c>
      <c r="B16" t="n">
        <v>158</v>
      </c>
      <c r="C16" t="n">
        <v>186</v>
      </c>
      <c r="D16" t="n">
        <v>222</v>
      </c>
      <c r="E16" t="n">
        <v>177</v>
      </c>
      <c r="F16" t="n">
        <v>184</v>
      </c>
      <c r="G16" t="n">
        <v>178</v>
      </c>
      <c r="H16" t="n">
        <v>223</v>
      </c>
      <c r="I16" t="n">
        <v>189</v>
      </c>
      <c r="J16" t="n">
        <v>187</v>
      </c>
      <c r="K16" t="n">
        <v>214</v>
      </c>
      <c r="L16" t="n">
        <v>182</v>
      </c>
      <c r="M16" t="n">
        <v>206</v>
      </c>
      <c r="N16">
        <f>SUM(B16:D16)</f>
        <v/>
      </c>
      <c r="O16">
        <f>SUM(E16:G16)</f>
        <v/>
      </c>
      <c r="P16">
        <f>SUM(H16:J16)</f>
        <v/>
      </c>
      <c r="Q16">
        <f>SUM(K16:M16)</f>
        <v/>
      </c>
      <c r="R16">
        <f>SUM(N16:O16)</f>
        <v/>
      </c>
      <c r="S16">
        <f>SUM(P16:Q16)</f>
        <v/>
      </c>
      <c r="T16">
        <f>R16+S16</f>
        <v/>
      </c>
    </row>
    <row r="17">
      <c r="A17" t="inlineStr">
        <is>
          <t xml:space="preserve"> 원재료(LOSS_경연)</t>
        </is>
      </c>
      <c r="B17" t="n">
        <v>189</v>
      </c>
      <c r="C17" t="n">
        <v>205</v>
      </c>
      <c r="D17" t="n">
        <v>226</v>
      </c>
      <c r="E17" t="n">
        <v>152</v>
      </c>
      <c r="F17" t="n">
        <v>215</v>
      </c>
      <c r="G17" t="n">
        <v>177</v>
      </c>
      <c r="H17" t="n">
        <v>261</v>
      </c>
      <c r="I17" t="n">
        <v>208</v>
      </c>
      <c r="J17" t="n">
        <v>158</v>
      </c>
      <c r="K17" t="n">
        <v>238</v>
      </c>
      <c r="L17" t="n">
        <v>180</v>
      </c>
      <c r="M17" t="n">
        <v>200</v>
      </c>
      <c r="N17">
        <f>SUM(B17:D17)</f>
        <v/>
      </c>
      <c r="O17">
        <f>SUM(E17:G17)</f>
        <v/>
      </c>
      <c r="P17">
        <f>SUM(H17:J17)</f>
        <v/>
      </c>
      <c r="Q17">
        <f>SUM(K17:M17)</f>
        <v/>
      </c>
      <c r="R17">
        <f>SUM(N17:O17)</f>
        <v/>
      </c>
      <c r="S17">
        <f>SUM(P17:Q17)</f>
        <v/>
      </c>
      <c r="T17">
        <f>R17+S17</f>
        <v/>
      </c>
    </row>
    <row r="18">
      <c r="A18" t="inlineStr">
        <is>
          <t xml:space="preserve"> 원재료비_칼슘연</t>
        </is>
      </c>
      <c r="B18" t="n">
        <v>179</v>
      </c>
      <c r="C18" t="n">
        <v>233</v>
      </c>
      <c r="D18" t="n">
        <v>229</v>
      </c>
      <c r="E18" t="n">
        <v>155</v>
      </c>
      <c r="F18" t="n">
        <v>176</v>
      </c>
      <c r="G18" t="n">
        <v>168</v>
      </c>
      <c r="H18" t="n">
        <v>250</v>
      </c>
      <c r="I18" t="n">
        <v>194</v>
      </c>
      <c r="J18" t="n">
        <v>169</v>
      </c>
      <c r="K18" t="n">
        <v>247</v>
      </c>
      <c r="L18" t="n">
        <v>203</v>
      </c>
      <c r="M18" t="n">
        <v>206</v>
      </c>
      <c r="N18">
        <f>SUM(B18:D18)</f>
        <v/>
      </c>
      <c r="O18">
        <f>SUM(E18:G18)</f>
        <v/>
      </c>
      <c r="P18">
        <f>SUM(H18:J18)</f>
        <v/>
      </c>
      <c r="Q18">
        <f>SUM(K18:M18)</f>
        <v/>
      </c>
      <c r="R18">
        <f>SUM(N18:O18)</f>
        <v/>
      </c>
      <c r="S18">
        <f>SUM(P18:Q18)</f>
        <v/>
      </c>
      <c r="T18">
        <f>R18+S18</f>
        <v/>
      </c>
    </row>
    <row r="19">
      <c r="A19" t="inlineStr">
        <is>
          <t xml:space="preserve"> 원재료(LOSS_칼슘연)</t>
        </is>
      </c>
      <c r="B19" t="n">
        <v>204</v>
      </c>
      <c r="C19" t="n">
        <v>233</v>
      </c>
      <c r="D19" t="n">
        <v>262</v>
      </c>
      <c r="E19" t="n">
        <v>194</v>
      </c>
      <c r="F19" t="n">
        <v>249</v>
      </c>
      <c r="G19" t="n">
        <v>221</v>
      </c>
      <c r="H19" t="n">
        <v>261</v>
      </c>
      <c r="I19" t="n">
        <v>291</v>
      </c>
      <c r="J19" t="n">
        <v>177</v>
      </c>
      <c r="K19" t="n">
        <v>242</v>
      </c>
      <c r="L19" t="n">
        <v>210</v>
      </c>
      <c r="M19" t="n">
        <v>215</v>
      </c>
      <c r="N19">
        <f>SUM(B19:D19)</f>
        <v/>
      </c>
      <c r="O19">
        <f>SUM(E19:G19)</f>
        <v/>
      </c>
      <c r="P19">
        <f>SUM(H19:J19)</f>
        <v/>
      </c>
      <c r="Q19">
        <f>SUM(K19:M19)</f>
        <v/>
      </c>
      <c r="R19">
        <f>SUM(N19:O19)</f>
        <v/>
      </c>
      <c r="S19">
        <f>SUM(P19:Q19)</f>
        <v/>
      </c>
      <c r="T19">
        <f>R19+S19</f>
        <v/>
      </c>
    </row>
    <row r="20">
      <c r="A20" t="inlineStr">
        <is>
          <t xml:space="preserve"> 원재료비_니켈(A)</t>
        </is>
      </c>
      <c r="B20" t="n">
        <v>47</v>
      </c>
      <c r="C20" t="n">
        <v>68</v>
      </c>
      <c r="D20" t="n">
        <v>61</v>
      </c>
      <c r="E20" t="n">
        <v>40</v>
      </c>
      <c r="F20" t="n">
        <v>59</v>
      </c>
      <c r="G20" t="n">
        <v>46</v>
      </c>
      <c r="H20" t="n">
        <v>66</v>
      </c>
      <c r="I20" t="n">
        <v>65</v>
      </c>
      <c r="J20" t="n">
        <v>41</v>
      </c>
      <c r="K20" t="n">
        <v>62</v>
      </c>
      <c r="L20" t="n">
        <v>52</v>
      </c>
      <c r="M20" t="n">
        <v>48</v>
      </c>
      <c r="N20">
        <f>SUM(B20:D20)</f>
        <v/>
      </c>
      <c r="O20">
        <f>SUM(E20:G20)</f>
        <v/>
      </c>
      <c r="P20">
        <f>SUM(H20:J20)</f>
        <v/>
      </c>
      <c r="Q20">
        <f>SUM(K20:M20)</f>
        <v/>
      </c>
      <c r="R20">
        <f>SUM(N20:O20)</f>
        <v/>
      </c>
      <c r="S20">
        <f>SUM(P20:Q20)</f>
        <v/>
      </c>
      <c r="T20">
        <f>R20+S20</f>
        <v/>
      </c>
    </row>
    <row r="21">
      <c r="A21" t="inlineStr">
        <is>
          <t xml:space="preserve"> 원재료비_리튬(A)</t>
        </is>
      </c>
      <c r="B21" t="n">
        <v>196</v>
      </c>
      <c r="C21" t="n">
        <v>214</v>
      </c>
      <c r="D21" t="n">
        <v>225</v>
      </c>
      <c r="E21" t="n">
        <v>152</v>
      </c>
      <c r="F21" t="n">
        <v>221</v>
      </c>
      <c r="G21" t="n">
        <v>188</v>
      </c>
      <c r="H21" t="n">
        <v>230</v>
      </c>
      <c r="I21" t="n">
        <v>233</v>
      </c>
      <c r="J21" t="n">
        <v>151</v>
      </c>
      <c r="K21" t="n">
        <v>211</v>
      </c>
      <c r="L21" t="n">
        <v>207</v>
      </c>
      <c r="M21" t="n">
        <v>165</v>
      </c>
      <c r="N21">
        <f>SUM(B21:D21)</f>
        <v/>
      </c>
      <c r="O21">
        <f>SUM(E21:G21)</f>
        <v/>
      </c>
      <c r="P21">
        <f>SUM(H21:J21)</f>
        <v/>
      </c>
      <c r="Q21">
        <f>SUM(K21:M21)</f>
        <v/>
      </c>
      <c r="R21">
        <f>SUM(N21:O21)</f>
        <v/>
      </c>
      <c r="S21">
        <f>SUM(P21:Q21)</f>
        <v/>
      </c>
      <c r="T21">
        <f>R21+S21</f>
        <v/>
      </c>
    </row>
    <row r="22">
      <c r="A22" t="inlineStr">
        <is>
          <t xml:space="preserve"> 주재료비_전조(A)</t>
        </is>
      </c>
      <c r="B22" t="n">
        <v>73</v>
      </c>
      <c r="C22" t="n">
        <v>87</v>
      </c>
      <c r="D22" t="n">
        <v>91</v>
      </c>
      <c r="E22" t="n">
        <v>72</v>
      </c>
      <c r="F22" t="n">
        <v>81</v>
      </c>
      <c r="G22" t="n">
        <v>71</v>
      </c>
      <c r="H22" t="n">
        <v>106</v>
      </c>
      <c r="I22" t="n">
        <v>79</v>
      </c>
      <c r="J22" t="n">
        <v>71</v>
      </c>
      <c r="K22" t="n">
        <v>81</v>
      </c>
      <c r="L22" t="n">
        <v>79</v>
      </c>
      <c r="M22" t="n">
        <v>83</v>
      </c>
      <c r="N22">
        <f>SUM(B22:D22)</f>
        <v/>
      </c>
      <c r="O22">
        <f>SUM(E22:G22)</f>
        <v/>
      </c>
      <c r="P22">
        <f>SUM(H22:J22)</f>
        <v/>
      </c>
      <c r="Q22">
        <f>SUM(K22:M22)</f>
        <v/>
      </c>
      <c r="R22">
        <f>SUM(N22:O22)</f>
        <v/>
      </c>
      <c r="S22">
        <f>SUM(P22:Q22)</f>
        <v/>
      </c>
      <c r="T22">
        <f>R22+S22</f>
        <v/>
      </c>
    </row>
    <row r="23">
      <c r="A23" t="inlineStr">
        <is>
          <t xml:space="preserve"> 주재료비_카바(A)</t>
        </is>
      </c>
      <c r="B23" t="n">
        <v>41</v>
      </c>
      <c r="C23" t="n">
        <v>62</v>
      </c>
      <c r="D23" t="n">
        <v>51</v>
      </c>
      <c r="E23" t="n">
        <v>52</v>
      </c>
      <c r="F23" t="n">
        <v>46</v>
      </c>
      <c r="G23" t="n">
        <v>52</v>
      </c>
      <c r="H23" t="n">
        <v>53</v>
      </c>
      <c r="I23" t="n">
        <v>52</v>
      </c>
      <c r="J23" t="n">
        <v>45</v>
      </c>
      <c r="K23" t="n">
        <v>67</v>
      </c>
      <c r="L23" t="n">
        <v>45</v>
      </c>
      <c r="M23" t="n">
        <v>51</v>
      </c>
      <c r="N23">
        <f>SUM(B23:D23)</f>
        <v/>
      </c>
      <c r="O23">
        <f>SUM(E23:G23)</f>
        <v/>
      </c>
      <c r="P23">
        <f>SUM(H23:J23)</f>
        <v/>
      </c>
      <c r="Q23">
        <f>SUM(K23:M23)</f>
        <v/>
      </c>
      <c r="R23">
        <f>SUM(N23:O23)</f>
        <v/>
      </c>
      <c r="S23">
        <f>SUM(P23:Q23)</f>
        <v/>
      </c>
      <c r="T23">
        <f>R23+S23</f>
        <v/>
      </c>
    </row>
    <row r="24">
      <c r="A24" t="inlineStr">
        <is>
          <t xml:space="preserve"> 주재료비_격리판(A</t>
        </is>
      </c>
      <c r="B24" t="n">
        <v>236</v>
      </c>
      <c r="C24" t="n">
        <v>231</v>
      </c>
      <c r="D24" t="n">
        <v>283</v>
      </c>
      <c r="E24" t="n">
        <v>237</v>
      </c>
      <c r="F24" t="n">
        <v>249</v>
      </c>
      <c r="G24" t="n">
        <v>235</v>
      </c>
      <c r="H24" t="n">
        <v>285</v>
      </c>
      <c r="I24" t="n">
        <v>291</v>
      </c>
      <c r="J24" t="n">
        <v>234</v>
      </c>
      <c r="K24" t="n">
        <v>254</v>
      </c>
      <c r="L24" t="n">
        <v>197</v>
      </c>
      <c r="M24" t="n">
        <v>236</v>
      </c>
      <c r="N24">
        <f>SUM(B24:D24)</f>
        <v/>
      </c>
      <c r="O24">
        <f>SUM(E24:G24)</f>
        <v/>
      </c>
      <c r="P24">
        <f>SUM(H24:J24)</f>
        <v/>
      </c>
      <c r="Q24">
        <f>SUM(K24:M24)</f>
        <v/>
      </c>
      <c r="R24">
        <f>SUM(N24:O24)</f>
        <v/>
      </c>
      <c r="S24">
        <f>SUM(P24:Q24)</f>
        <v/>
      </c>
      <c r="T24">
        <f>R24+S24</f>
        <v/>
      </c>
    </row>
    <row r="25">
      <c r="A25" t="inlineStr">
        <is>
          <t xml:space="preserve"> 부재료비(A)</t>
        </is>
      </c>
      <c r="B25" t="n">
        <v>193</v>
      </c>
      <c r="C25" t="n">
        <v>234</v>
      </c>
      <c r="D25" t="n">
        <v>221</v>
      </c>
      <c r="E25" t="n">
        <v>186</v>
      </c>
      <c r="F25" t="n">
        <v>172</v>
      </c>
      <c r="G25" t="n">
        <v>156</v>
      </c>
      <c r="H25" t="n">
        <v>239</v>
      </c>
      <c r="I25" t="n">
        <v>191</v>
      </c>
      <c r="J25" t="n">
        <v>148</v>
      </c>
      <c r="K25" t="n">
        <v>245</v>
      </c>
      <c r="L25" t="n">
        <v>180</v>
      </c>
      <c r="M25" t="n">
        <v>190</v>
      </c>
      <c r="N25">
        <f>SUM(B25:D25)</f>
        <v/>
      </c>
      <c r="O25">
        <f>SUM(E25:G25)</f>
        <v/>
      </c>
      <c r="P25">
        <f>SUM(H25:J25)</f>
        <v/>
      </c>
      <c r="Q25">
        <f>SUM(K25:M25)</f>
        <v/>
      </c>
      <c r="R25">
        <f>SUM(N25:O25)</f>
        <v/>
      </c>
      <c r="S25">
        <f>SUM(P25:Q25)</f>
        <v/>
      </c>
      <c r="T25">
        <f>R25+S25</f>
        <v/>
      </c>
    </row>
    <row r="26">
      <c r="A26" t="inlineStr">
        <is>
          <t xml:space="preserve"> 포장비(A)</t>
        </is>
      </c>
      <c r="B26" t="n">
        <v>204</v>
      </c>
      <c r="C26" t="n">
        <v>262</v>
      </c>
      <c r="D26" t="n">
        <v>202</v>
      </c>
      <c r="E26" t="n">
        <v>169</v>
      </c>
      <c r="F26" t="n">
        <v>180</v>
      </c>
      <c r="G26" t="n">
        <v>167</v>
      </c>
      <c r="H26" t="n">
        <v>247</v>
      </c>
      <c r="I26" t="n">
        <v>200</v>
      </c>
      <c r="J26" t="n">
        <v>207</v>
      </c>
      <c r="K26" t="n">
        <v>219</v>
      </c>
      <c r="L26" t="n">
        <v>184</v>
      </c>
      <c r="M26" t="n">
        <v>236</v>
      </c>
      <c r="N26">
        <f>SUM(B26:D26)</f>
        <v/>
      </c>
      <c r="O26">
        <f>SUM(E26:G26)</f>
        <v/>
      </c>
      <c r="P26">
        <f>SUM(H26:J26)</f>
        <v/>
      </c>
      <c r="Q26">
        <f>SUM(K26:M26)</f>
        <v/>
      </c>
      <c r="R26">
        <f>SUM(N26:O26)</f>
        <v/>
      </c>
      <c r="S26">
        <f>SUM(P26:Q26)</f>
        <v/>
      </c>
      <c r="T26">
        <f>R26+S26</f>
        <v/>
      </c>
    </row>
    <row r="27">
      <c r="A27" t="inlineStr">
        <is>
          <t xml:space="preserve"> 부대품재료비(A)</t>
        </is>
      </c>
      <c r="B27" t="n">
        <v>160</v>
      </c>
      <c r="C27" t="n">
        <v>176</v>
      </c>
      <c r="D27" t="n">
        <v>179</v>
      </c>
      <c r="E27" t="n">
        <v>154</v>
      </c>
      <c r="F27" t="n">
        <v>188</v>
      </c>
      <c r="G27" t="n">
        <v>156</v>
      </c>
      <c r="H27" t="n">
        <v>190</v>
      </c>
      <c r="I27" t="n">
        <v>193</v>
      </c>
      <c r="J27" t="n">
        <v>170</v>
      </c>
      <c r="K27" t="n">
        <v>234</v>
      </c>
      <c r="L27" t="n">
        <v>180</v>
      </c>
      <c r="M27" t="n">
        <v>190</v>
      </c>
      <c r="N27">
        <f>SUM(B27:D27)</f>
        <v/>
      </c>
      <c r="O27">
        <f>SUM(E27:G27)</f>
        <v/>
      </c>
      <c r="P27">
        <f>SUM(H27:J27)</f>
        <v/>
      </c>
      <c r="Q27">
        <f>SUM(K27:M27)</f>
        <v/>
      </c>
      <c r="R27">
        <f>SUM(N27:O27)</f>
        <v/>
      </c>
      <c r="S27">
        <f>SUM(P27:Q27)</f>
        <v/>
      </c>
      <c r="T27">
        <f>R27+S27</f>
        <v/>
      </c>
    </row>
    <row r="28">
      <c r="A28" t="inlineStr">
        <is>
          <t xml:space="preserve"> 부산물공제(A)</t>
        </is>
      </c>
      <c r="B28" t="n">
        <v>150</v>
      </c>
      <c r="C28" t="n">
        <v>202</v>
      </c>
      <c r="D28" t="n">
        <v>198</v>
      </c>
      <c r="E28" t="n">
        <v>158</v>
      </c>
      <c r="F28" t="n">
        <v>173</v>
      </c>
      <c r="G28" t="n">
        <v>174</v>
      </c>
      <c r="H28" t="n">
        <v>214</v>
      </c>
      <c r="I28" t="n">
        <v>186</v>
      </c>
      <c r="J28" t="n">
        <v>152</v>
      </c>
      <c r="K28" t="n">
        <v>195</v>
      </c>
      <c r="L28" t="n">
        <v>183</v>
      </c>
      <c r="M28" t="n">
        <v>205</v>
      </c>
      <c r="N28">
        <f>SUM(B28:D28)</f>
        <v/>
      </c>
      <c r="O28">
        <f>SUM(E28:G28)</f>
        <v/>
      </c>
      <c r="P28">
        <f>SUM(H28:J28)</f>
        <v/>
      </c>
      <c r="Q28">
        <f>SUM(K28:M28)</f>
        <v/>
      </c>
      <c r="R28">
        <f>SUM(N28:O28)</f>
        <v/>
      </c>
      <c r="S28">
        <f>SUM(P28:Q28)</f>
        <v/>
      </c>
      <c r="T28">
        <f>R28+S28</f>
        <v/>
      </c>
    </row>
    <row r="29">
      <c r="A29" t="inlineStr">
        <is>
          <t xml:space="preserve"> 변동직접노무비(A)</t>
        </is>
      </c>
      <c r="B29" t="n">
        <v>242</v>
      </c>
      <c r="C29" t="n">
        <v>277</v>
      </c>
      <c r="D29" t="n">
        <v>265</v>
      </c>
      <c r="E29" t="n">
        <v>204</v>
      </c>
      <c r="F29" t="n">
        <v>255</v>
      </c>
      <c r="G29" t="n">
        <v>250</v>
      </c>
      <c r="H29" t="n">
        <v>270</v>
      </c>
      <c r="I29" t="n">
        <v>320</v>
      </c>
      <c r="J29" t="n">
        <v>205</v>
      </c>
      <c r="K29" t="n">
        <v>326</v>
      </c>
      <c r="L29" t="n">
        <v>218</v>
      </c>
      <c r="M29" t="n">
        <v>270</v>
      </c>
      <c r="N29">
        <f>SUM(B29:D29)</f>
        <v/>
      </c>
      <c r="O29">
        <f>SUM(E29:G29)</f>
        <v/>
      </c>
      <c r="P29">
        <f>SUM(H29:J29)</f>
        <v/>
      </c>
      <c r="Q29">
        <f>SUM(K29:M29)</f>
        <v/>
      </c>
      <c r="R29">
        <f>SUM(N29:O29)</f>
        <v/>
      </c>
      <c r="S29">
        <f>SUM(P29:Q29)</f>
        <v/>
      </c>
      <c r="T29">
        <f>R29+S29</f>
        <v/>
      </c>
    </row>
    <row r="30">
      <c r="A30" t="inlineStr">
        <is>
          <t xml:space="preserve"> 변동경비(A)</t>
        </is>
      </c>
      <c r="B30" t="n">
        <v>169</v>
      </c>
      <c r="C30" t="n">
        <v>177</v>
      </c>
      <c r="D30" t="n">
        <v>177</v>
      </c>
      <c r="E30" t="n">
        <v>139</v>
      </c>
      <c r="F30" t="n">
        <v>143</v>
      </c>
      <c r="G30" t="n">
        <v>141</v>
      </c>
      <c r="H30" t="n">
        <v>185</v>
      </c>
      <c r="I30" t="n">
        <v>179</v>
      </c>
      <c r="J30" t="n">
        <v>153</v>
      </c>
      <c r="K30" t="n">
        <v>189</v>
      </c>
      <c r="L30" t="n">
        <v>152</v>
      </c>
      <c r="M30" t="n">
        <v>151</v>
      </c>
      <c r="N30">
        <f>SUM(B30:D30)</f>
        <v/>
      </c>
      <c r="O30">
        <f>SUM(E30:G30)</f>
        <v/>
      </c>
      <c r="P30">
        <f>SUM(H30:J30)</f>
        <v/>
      </c>
      <c r="Q30">
        <f>SUM(K30:M30)</f>
        <v/>
      </c>
      <c r="R30">
        <f>SUM(N30:O30)</f>
        <v/>
      </c>
      <c r="S30">
        <f>SUM(P30:Q30)</f>
        <v/>
      </c>
      <c r="T30">
        <f>R30+S30</f>
        <v/>
      </c>
    </row>
    <row r="31">
      <c r="A31" t="inlineStr">
        <is>
          <t xml:space="preserve"> 고정직접노무비(A)</t>
        </is>
      </c>
      <c r="B31" t="n">
        <v>310</v>
      </c>
      <c r="C31" t="n">
        <v>299</v>
      </c>
      <c r="D31" t="n">
        <v>377</v>
      </c>
      <c r="E31" t="n">
        <v>247</v>
      </c>
      <c r="F31" t="n">
        <v>336</v>
      </c>
      <c r="G31" t="n">
        <v>239</v>
      </c>
      <c r="H31" t="n">
        <v>336</v>
      </c>
      <c r="I31" t="n">
        <v>377</v>
      </c>
      <c r="J31" t="n">
        <v>241</v>
      </c>
      <c r="K31" t="n">
        <v>391</v>
      </c>
      <c r="L31" t="n">
        <v>306</v>
      </c>
      <c r="M31" t="n">
        <v>329</v>
      </c>
      <c r="N31">
        <f>SUM(B31:D31)</f>
        <v/>
      </c>
      <c r="O31">
        <f>SUM(E31:G31)</f>
        <v/>
      </c>
      <c r="P31">
        <f>SUM(H31:J31)</f>
        <v/>
      </c>
      <c r="Q31">
        <f>SUM(K31:M31)</f>
        <v/>
      </c>
      <c r="R31">
        <f>SUM(N31:O31)</f>
        <v/>
      </c>
      <c r="S31">
        <f>SUM(P31:Q31)</f>
        <v/>
      </c>
      <c r="T31">
        <f>R31+S31</f>
        <v/>
      </c>
    </row>
    <row r="32">
      <c r="A32" t="inlineStr">
        <is>
          <t xml:space="preserve"> 간접노무비(A)</t>
        </is>
      </c>
      <c r="B32" t="n">
        <v>125</v>
      </c>
      <c r="C32" t="n">
        <v>167</v>
      </c>
      <c r="D32" t="n">
        <v>142</v>
      </c>
      <c r="E32" t="n">
        <v>118</v>
      </c>
      <c r="F32" t="n">
        <v>132</v>
      </c>
      <c r="G32" t="n">
        <v>119</v>
      </c>
      <c r="H32" t="n">
        <v>149</v>
      </c>
      <c r="I32" t="n">
        <v>137</v>
      </c>
      <c r="J32" t="n">
        <v>127</v>
      </c>
      <c r="K32" t="n">
        <v>143</v>
      </c>
      <c r="L32" t="n">
        <v>136</v>
      </c>
      <c r="M32" t="n">
        <v>121</v>
      </c>
      <c r="N32">
        <f>SUM(B32:D32)</f>
        <v/>
      </c>
      <c r="O32">
        <f>SUM(E32:G32)</f>
        <v/>
      </c>
      <c r="P32">
        <f>SUM(H32:J32)</f>
        <v/>
      </c>
      <c r="Q32">
        <f>SUM(K32:M32)</f>
        <v/>
      </c>
      <c r="R32">
        <f>SUM(N32:O32)</f>
        <v/>
      </c>
      <c r="S32">
        <f>SUM(P32:Q32)</f>
        <v/>
      </c>
      <c r="T32">
        <f>R32+S32</f>
        <v/>
      </c>
    </row>
    <row r="33">
      <c r="A33" t="inlineStr">
        <is>
          <t xml:space="preserve"> 고정경비(A)</t>
        </is>
      </c>
      <c r="B33" t="n">
        <v>75</v>
      </c>
      <c r="C33" t="n">
        <v>95</v>
      </c>
      <c r="D33" t="n">
        <v>100</v>
      </c>
      <c r="E33" t="n">
        <v>89</v>
      </c>
      <c r="F33" t="n">
        <v>89</v>
      </c>
      <c r="G33" t="n">
        <v>82</v>
      </c>
      <c r="H33" t="n">
        <v>103</v>
      </c>
      <c r="I33" t="n">
        <v>92</v>
      </c>
      <c r="J33" t="n">
        <v>99</v>
      </c>
      <c r="K33" t="n">
        <v>114</v>
      </c>
      <c r="L33" t="n">
        <v>101</v>
      </c>
      <c r="M33" t="n">
        <v>99</v>
      </c>
      <c r="N33">
        <f>SUM(B33:D33)</f>
        <v/>
      </c>
      <c r="O33">
        <f>SUM(E33:G33)</f>
        <v/>
      </c>
      <c r="P33">
        <f>SUM(H33:J33)</f>
        <v/>
      </c>
      <c r="Q33">
        <f>SUM(K33:M33)</f>
        <v/>
      </c>
      <c r="R33">
        <f>SUM(N33:O33)</f>
        <v/>
      </c>
      <c r="S33">
        <f>SUM(P33:Q33)</f>
        <v/>
      </c>
      <c r="T33">
        <f>R33+S33</f>
        <v/>
      </c>
    </row>
    <row r="34">
      <c r="A34" t="inlineStr">
        <is>
          <t xml:space="preserve"> 외주가공비(A)</t>
        </is>
      </c>
      <c r="B34" t="n">
        <v>59</v>
      </c>
      <c r="C34" t="n">
        <v>91</v>
      </c>
      <c r="D34" t="n">
        <v>96</v>
      </c>
      <c r="E34" t="n">
        <v>77</v>
      </c>
      <c r="F34" t="n">
        <v>71</v>
      </c>
      <c r="G34" t="n">
        <v>62</v>
      </c>
      <c r="H34" t="n">
        <v>103</v>
      </c>
      <c r="I34" t="n">
        <v>88</v>
      </c>
      <c r="J34" t="n">
        <v>68</v>
      </c>
      <c r="K34" t="n">
        <v>84</v>
      </c>
      <c r="L34" t="n">
        <v>69</v>
      </c>
      <c r="M34" t="n">
        <v>79</v>
      </c>
      <c r="N34">
        <f>SUM(B34:D34)</f>
        <v/>
      </c>
      <c r="O34">
        <f>SUM(E34:G34)</f>
        <v/>
      </c>
      <c r="P34">
        <f>SUM(H34:J34)</f>
        <v/>
      </c>
      <c r="Q34">
        <f>SUM(K34:M34)</f>
        <v/>
      </c>
      <c r="R34">
        <f>SUM(N34:O34)</f>
        <v/>
      </c>
      <c r="S34">
        <f>SUM(P34:Q34)</f>
        <v/>
      </c>
      <c r="T34">
        <f>R34+S34</f>
        <v/>
      </c>
    </row>
    <row r="35">
      <c r="A35" t="inlineStr">
        <is>
          <t xml:space="preserve"> 원가절감(구매)</t>
        </is>
      </c>
      <c r="B35" t="n">
        <v>217</v>
      </c>
      <c r="C35" t="n">
        <v>316</v>
      </c>
      <c r="D35" t="n">
        <v>329</v>
      </c>
      <c r="E35" t="n">
        <v>198</v>
      </c>
      <c r="F35" t="n">
        <v>221</v>
      </c>
      <c r="G35" t="n">
        <v>234</v>
      </c>
      <c r="H35" t="n">
        <v>353</v>
      </c>
      <c r="I35" t="n">
        <v>289</v>
      </c>
      <c r="J35" t="n">
        <v>211</v>
      </c>
      <c r="K35" t="n">
        <v>306</v>
      </c>
      <c r="L35" t="n">
        <v>250</v>
      </c>
      <c r="M35" t="n">
        <v>267</v>
      </c>
      <c r="N35">
        <f>SUM(B35:D35)</f>
        <v/>
      </c>
      <c r="O35">
        <f>SUM(E35:G35)</f>
        <v/>
      </c>
      <c r="P35">
        <f>SUM(H35:J35)</f>
        <v/>
      </c>
      <c r="Q35">
        <f>SUM(K35:M35)</f>
        <v/>
      </c>
      <c r="R35">
        <f>SUM(N35:O35)</f>
        <v/>
      </c>
      <c r="S35">
        <f>SUM(P35:Q35)</f>
        <v/>
      </c>
      <c r="T35">
        <f>R35+S35</f>
        <v/>
      </c>
    </row>
    <row r="36">
      <c r="A36" t="inlineStr">
        <is>
          <t xml:space="preserve"> 원가절감(광주)</t>
        </is>
      </c>
      <c r="B36" t="n">
        <v>44</v>
      </c>
      <c r="C36" t="n">
        <v>53</v>
      </c>
      <c r="D36" t="n">
        <v>58</v>
      </c>
      <c r="E36" t="n">
        <v>47</v>
      </c>
      <c r="F36" t="n">
        <v>44</v>
      </c>
      <c r="G36" t="n">
        <v>38</v>
      </c>
      <c r="H36" t="n">
        <v>51</v>
      </c>
      <c r="I36" t="n">
        <v>47</v>
      </c>
      <c r="J36" t="n">
        <v>46</v>
      </c>
      <c r="K36" t="n">
        <v>60</v>
      </c>
      <c r="L36" t="n">
        <v>38</v>
      </c>
      <c r="M36" t="n">
        <v>53</v>
      </c>
      <c r="N36">
        <f>SUM(B36:D36)</f>
        <v/>
      </c>
      <c r="O36">
        <f>SUM(E36:G36)</f>
        <v/>
      </c>
      <c r="P36">
        <f>SUM(H36:J36)</f>
        <v/>
      </c>
      <c r="Q36">
        <f>SUM(K36:M36)</f>
        <v/>
      </c>
      <c r="R36">
        <f>SUM(N36:O36)</f>
        <v/>
      </c>
      <c r="S36">
        <f>SUM(P36:Q36)</f>
        <v/>
      </c>
      <c r="T36">
        <f>R36+S36</f>
        <v/>
      </c>
    </row>
    <row r="37">
      <c r="A37" t="inlineStr">
        <is>
          <t xml:space="preserve"> 원가절감(창원)</t>
        </is>
      </c>
      <c r="B37" t="n">
        <v>116</v>
      </c>
      <c r="C37" t="n">
        <v>139</v>
      </c>
      <c r="D37" t="n">
        <v>107</v>
      </c>
      <c r="E37" t="n">
        <v>104</v>
      </c>
      <c r="F37" t="n">
        <v>125</v>
      </c>
      <c r="G37" t="n">
        <v>100</v>
      </c>
      <c r="H37" t="n">
        <v>117</v>
      </c>
      <c r="I37" t="n">
        <v>132</v>
      </c>
      <c r="J37" t="n">
        <v>96</v>
      </c>
      <c r="K37" t="n">
        <v>136</v>
      </c>
      <c r="L37" t="n">
        <v>119</v>
      </c>
      <c r="M37" t="n">
        <v>115</v>
      </c>
      <c r="N37">
        <f>SUM(B37:D37)</f>
        <v/>
      </c>
      <c r="O37">
        <f>SUM(E37:G37)</f>
        <v/>
      </c>
      <c r="P37">
        <f>SUM(H37:J37)</f>
        <v/>
      </c>
      <c r="Q37">
        <f>SUM(K37:M37)</f>
        <v/>
      </c>
      <c r="R37">
        <f>SUM(N37:O37)</f>
        <v/>
      </c>
      <c r="S37">
        <f>SUM(P37:Q37)</f>
        <v/>
      </c>
      <c r="T37">
        <f>R37+S37</f>
        <v/>
      </c>
    </row>
    <row r="38">
      <c r="A38" t="inlineStr">
        <is>
          <t xml:space="preserve"> 원가절감(품질)</t>
        </is>
      </c>
      <c r="B38" t="n">
        <v>164</v>
      </c>
      <c r="C38" t="n">
        <v>166</v>
      </c>
      <c r="D38" t="n">
        <v>173</v>
      </c>
      <c r="E38" t="n">
        <v>143</v>
      </c>
      <c r="F38" t="n">
        <v>146</v>
      </c>
      <c r="G38" t="n">
        <v>149</v>
      </c>
      <c r="H38" t="n">
        <v>195</v>
      </c>
      <c r="I38" t="n">
        <v>219</v>
      </c>
      <c r="J38" t="n">
        <v>144</v>
      </c>
      <c r="K38" t="n">
        <v>178</v>
      </c>
      <c r="L38" t="n">
        <v>177</v>
      </c>
      <c r="M38" t="n">
        <v>155</v>
      </c>
      <c r="N38">
        <f>SUM(B38:D38)</f>
        <v/>
      </c>
      <c r="O38">
        <f>SUM(E38:G38)</f>
        <v/>
      </c>
      <c r="P38">
        <f>SUM(H38:J38)</f>
        <v/>
      </c>
      <c r="Q38">
        <f>SUM(K38:M38)</f>
        <v/>
      </c>
      <c r="R38">
        <f>SUM(N38:O38)</f>
        <v/>
      </c>
      <c r="S38">
        <f>SUM(P38:Q38)</f>
        <v/>
      </c>
      <c r="T38">
        <f>R38+S38</f>
        <v/>
      </c>
    </row>
    <row r="39">
      <c r="A39" t="inlineStr">
        <is>
          <t xml:space="preserve"> 원가절감(국내)</t>
        </is>
      </c>
      <c r="B39" t="n">
        <v>103</v>
      </c>
      <c r="C39" t="n">
        <v>134</v>
      </c>
      <c r="D39" t="n">
        <v>122</v>
      </c>
      <c r="E39" t="n">
        <v>105</v>
      </c>
      <c r="F39" t="n">
        <v>132</v>
      </c>
      <c r="G39" t="n">
        <v>105</v>
      </c>
      <c r="H39" t="n">
        <v>163</v>
      </c>
      <c r="I39" t="n">
        <v>123</v>
      </c>
      <c r="J39" t="n">
        <v>122</v>
      </c>
      <c r="K39" t="n">
        <v>135</v>
      </c>
      <c r="L39" t="n">
        <v>119</v>
      </c>
      <c r="M39" t="n">
        <v>120</v>
      </c>
      <c r="N39">
        <f>SUM(B39:D39)</f>
        <v/>
      </c>
      <c r="O39">
        <f>SUM(E39:G39)</f>
        <v/>
      </c>
      <c r="P39">
        <f>SUM(H39:J39)</f>
        <v/>
      </c>
      <c r="Q39">
        <f>SUM(K39:M39)</f>
        <v/>
      </c>
      <c r="R39">
        <f>SUM(N39:O39)</f>
        <v/>
      </c>
      <c r="S39">
        <f>SUM(P39:Q39)</f>
        <v/>
      </c>
      <c r="T39">
        <f>R39+S39</f>
        <v/>
      </c>
    </row>
    <row r="40">
      <c r="A40" t="inlineStr">
        <is>
          <t xml:space="preserve"> 원가절감(해외)</t>
        </is>
      </c>
      <c r="B40" t="n">
        <v>134</v>
      </c>
      <c r="C40" t="n">
        <v>184</v>
      </c>
      <c r="D40" t="n">
        <v>153</v>
      </c>
      <c r="E40" t="n">
        <v>160</v>
      </c>
      <c r="F40" t="n">
        <v>174</v>
      </c>
      <c r="G40" t="n">
        <v>128</v>
      </c>
      <c r="H40" t="n">
        <v>211</v>
      </c>
      <c r="I40" t="n">
        <v>191</v>
      </c>
      <c r="J40" t="n">
        <v>144</v>
      </c>
      <c r="K40" t="n">
        <v>205</v>
      </c>
      <c r="L40" t="n">
        <v>156</v>
      </c>
      <c r="M40" t="n">
        <v>156</v>
      </c>
      <c r="N40">
        <f>SUM(B40:D40)</f>
        <v/>
      </c>
      <c r="O40">
        <f>SUM(E40:G40)</f>
        <v/>
      </c>
      <c r="P40">
        <f>SUM(H40:J40)</f>
        <v/>
      </c>
      <c r="Q40">
        <f>SUM(K40:M40)</f>
        <v/>
      </c>
      <c r="R40">
        <f>SUM(N40:O40)</f>
        <v/>
      </c>
      <c r="S40">
        <f>SUM(P40:Q40)</f>
        <v/>
      </c>
      <c r="T40">
        <f>R40+S40</f>
        <v/>
      </c>
    </row>
    <row r="41">
      <c r="A41" t="inlineStr">
        <is>
          <t xml:space="preserve"> 매출총이익(A)</t>
        </is>
      </c>
      <c r="B41">
        <f>B5-B6</f>
        <v/>
      </c>
      <c r="C41">
        <f>C5-C6</f>
        <v/>
      </c>
      <c r="D41">
        <f>D5-D6</f>
        <v/>
      </c>
      <c r="E41">
        <f>E5-E6</f>
        <v/>
      </c>
      <c r="F41">
        <f>F5-F6</f>
        <v/>
      </c>
      <c r="G41">
        <f>G5-G6</f>
        <v/>
      </c>
      <c r="H41">
        <f>H5-H6</f>
        <v/>
      </c>
      <c r="I41">
        <f>I5-I6</f>
        <v/>
      </c>
      <c r="J41">
        <f>J5-J6</f>
        <v/>
      </c>
      <c r="K41">
        <f>K5-K6</f>
        <v/>
      </c>
      <c r="L41">
        <f>L5-L6</f>
        <v/>
      </c>
      <c r="M41">
        <f>M5-M6</f>
        <v/>
      </c>
      <c r="N41">
        <f>N5-N6</f>
        <v/>
      </c>
      <c r="O41">
        <f>O5-O6</f>
        <v/>
      </c>
      <c r="P41">
        <f>P5-P6</f>
        <v/>
      </c>
      <c r="Q41">
        <f>Q5-Q6</f>
        <v/>
      </c>
      <c r="R41">
        <f>R5-R6</f>
        <v/>
      </c>
      <c r="S41">
        <f>S5-S6</f>
        <v/>
      </c>
      <c r="T41">
        <f>T5-T6</f>
        <v/>
      </c>
    </row>
    <row r="42">
      <c r="A42" t="inlineStr">
        <is>
          <t xml:space="preserve"> 판관비(Total)</t>
        </is>
      </c>
      <c r="B42">
        <f>SUM(B44:B80)</f>
        <v/>
      </c>
      <c r="C42">
        <f>SUM(C44:C80)</f>
        <v/>
      </c>
      <c r="D42">
        <f>SUM(D44:D80)</f>
        <v/>
      </c>
      <c r="E42">
        <f>SUM(E44:E80)</f>
        <v/>
      </c>
      <c r="F42">
        <f>SUM(F44:F80)</f>
        <v/>
      </c>
      <c r="G42">
        <f>SUM(G44:G80)</f>
        <v/>
      </c>
      <c r="H42">
        <f>SUM(H44:H80)</f>
        <v/>
      </c>
      <c r="I42">
        <f>SUM(I44:I80)</f>
        <v/>
      </c>
      <c r="J42">
        <f>SUM(J44:J80)</f>
        <v/>
      </c>
      <c r="K42">
        <f>SUM(K44:K80)</f>
        <v/>
      </c>
      <c r="L42">
        <f>SUM(L44:L80)</f>
        <v/>
      </c>
      <c r="M42">
        <f>SUM(M44:M80)</f>
        <v/>
      </c>
      <c r="N42">
        <f>SUM(B42:D42)</f>
        <v/>
      </c>
      <c r="O42">
        <f>SUM(E42:G42)</f>
        <v/>
      </c>
      <c r="P42">
        <f>SUM(H42:J42)</f>
        <v/>
      </c>
      <c r="Q42">
        <f>SUM(K42:M42)</f>
        <v/>
      </c>
      <c r="R42">
        <f>SUM(N42:O42)</f>
        <v/>
      </c>
      <c r="S42">
        <f>SUM(P42:Q42)</f>
        <v/>
      </c>
      <c r="T42">
        <f>R42+S42</f>
        <v/>
      </c>
    </row>
    <row r="43">
      <c r="B43">
        <f>IFERROR(B42/B5,0)</f>
        <v/>
      </c>
      <c r="C43">
        <f>IFERROR(C42/C5,0)</f>
        <v/>
      </c>
      <c r="D43">
        <f>IFERROR(D42/D5,0)</f>
        <v/>
      </c>
      <c r="E43">
        <f>IFERROR(E42/E5,0)</f>
        <v/>
      </c>
      <c r="F43">
        <f>IFERROR(F42/F5,0)</f>
        <v/>
      </c>
      <c r="G43">
        <f>IFERROR(G42/G5,0)</f>
        <v/>
      </c>
      <c r="H43">
        <f>IFERROR(H42/H5,0)</f>
        <v/>
      </c>
      <c r="I43">
        <f>IFERROR(I42/I5,0)</f>
        <v/>
      </c>
      <c r="J43">
        <f>IFERROR(J42/J5,0)</f>
        <v/>
      </c>
      <c r="K43">
        <f>IFERROR(K42/K5,0)</f>
        <v/>
      </c>
      <c r="L43">
        <f>IFERROR(L42/L5,0)</f>
        <v/>
      </c>
      <c r="M43">
        <f>IFERROR(M42/M5,0)</f>
        <v/>
      </c>
      <c r="N43">
        <f>IFERROR(N42/N5,0)</f>
        <v/>
      </c>
      <c r="O43">
        <f>IFERROR(O42/O5,0)</f>
        <v/>
      </c>
      <c r="P43">
        <f>IFERROR(P42/P5,0)</f>
        <v/>
      </c>
      <c r="Q43">
        <f>IFERROR(Q42/Q5,0)</f>
        <v/>
      </c>
      <c r="R43">
        <f>IFERROR(R42/R5,0)</f>
        <v/>
      </c>
      <c r="S43">
        <f>IFERROR(S42/S5,0)</f>
        <v/>
      </c>
      <c r="T43">
        <f>IFERROR(T42/T5,0)</f>
        <v/>
      </c>
    </row>
    <row r="44">
      <c r="A44" t="inlineStr">
        <is>
          <t xml:space="preserve"> 임원급여</t>
        </is>
      </c>
      <c r="B44" t="n">
        <v>10</v>
      </c>
      <c r="C44" t="n">
        <v>13</v>
      </c>
      <c r="D44" t="n">
        <v>10</v>
      </c>
      <c r="E44" t="n">
        <v>10</v>
      </c>
      <c r="F44" t="n">
        <v>9</v>
      </c>
      <c r="G44" t="n">
        <v>10</v>
      </c>
      <c r="H44" t="n">
        <v>12</v>
      </c>
      <c r="I44" t="n">
        <v>13</v>
      </c>
      <c r="J44" t="n">
        <v>8</v>
      </c>
      <c r="K44" t="n">
        <v>14</v>
      </c>
      <c r="L44" t="n">
        <v>9</v>
      </c>
      <c r="M44" t="n">
        <v>9</v>
      </c>
      <c r="N44">
        <f>SUM(B44:D44)</f>
        <v/>
      </c>
      <c r="O44">
        <f>SUM(E44:G44)</f>
        <v/>
      </c>
      <c r="P44">
        <f>SUM(H44:J44)</f>
        <v/>
      </c>
      <c r="Q44">
        <f>SUM(K44:M44)</f>
        <v/>
      </c>
      <c r="R44">
        <f>SUM(N44:O44)</f>
        <v/>
      </c>
      <c r="S44">
        <f>SUM(P44:Q44)</f>
        <v/>
      </c>
      <c r="T44">
        <f>R44+S44</f>
        <v/>
      </c>
    </row>
    <row r="45">
      <c r="A45" t="inlineStr">
        <is>
          <t xml:space="preserve"> 직원급여</t>
        </is>
      </c>
      <c r="B45" t="n">
        <v>3</v>
      </c>
      <c r="C45" t="n">
        <v>3</v>
      </c>
      <c r="D45" t="n">
        <v>4</v>
      </c>
      <c r="E45" t="n">
        <v>3</v>
      </c>
      <c r="F45" t="n">
        <v>3</v>
      </c>
      <c r="G45" t="n">
        <v>3</v>
      </c>
      <c r="H45" t="n">
        <v>4</v>
      </c>
      <c r="I45" t="n">
        <v>3</v>
      </c>
      <c r="J45" t="n">
        <v>3</v>
      </c>
      <c r="K45" t="n">
        <v>4</v>
      </c>
      <c r="L45" t="n">
        <v>3</v>
      </c>
      <c r="M45" t="n">
        <v>3</v>
      </c>
      <c r="N45">
        <f>SUM(B45:D45)</f>
        <v/>
      </c>
      <c r="O45">
        <f>SUM(E45:G45)</f>
        <v/>
      </c>
      <c r="P45">
        <f>SUM(H45:J45)</f>
        <v/>
      </c>
      <c r="Q45">
        <f>SUM(K45:M45)</f>
        <v/>
      </c>
      <c r="R45">
        <f>SUM(N45:O45)</f>
        <v/>
      </c>
      <c r="S45">
        <f>SUM(P45:Q45)</f>
        <v/>
      </c>
      <c r="T45">
        <f>R45+S45</f>
        <v/>
      </c>
    </row>
    <row r="46">
      <c r="A46" t="inlineStr">
        <is>
          <t xml:space="preserve"> 임원상여</t>
        </is>
      </c>
      <c r="B46" t="n">
        <v>11</v>
      </c>
      <c r="C46" t="n">
        <v>15</v>
      </c>
      <c r="D46" t="n">
        <v>16</v>
      </c>
      <c r="E46" t="n">
        <v>11</v>
      </c>
      <c r="F46" t="n">
        <v>13</v>
      </c>
      <c r="G46" t="n">
        <v>13</v>
      </c>
      <c r="H46" t="n">
        <v>18</v>
      </c>
      <c r="I46" t="n">
        <v>15</v>
      </c>
      <c r="J46" t="n">
        <v>11</v>
      </c>
      <c r="K46" t="n">
        <v>14</v>
      </c>
      <c r="L46" t="n">
        <v>12</v>
      </c>
      <c r="M46" t="n">
        <v>12</v>
      </c>
      <c r="N46">
        <f>SUM(B46:D46)</f>
        <v/>
      </c>
      <c r="O46">
        <f>SUM(E46:G46)</f>
        <v/>
      </c>
      <c r="P46">
        <f>SUM(H46:J46)</f>
        <v/>
      </c>
      <c r="Q46">
        <f>SUM(K46:M46)</f>
        <v/>
      </c>
      <c r="R46">
        <f>SUM(N46:O46)</f>
        <v/>
      </c>
      <c r="S46">
        <f>SUM(P46:Q46)</f>
        <v/>
      </c>
      <c r="T46">
        <f>R46+S46</f>
        <v/>
      </c>
    </row>
    <row r="47">
      <c r="A47" t="inlineStr">
        <is>
          <t xml:space="preserve"> 직원상여</t>
        </is>
      </c>
      <c r="B47" t="n">
        <v>9</v>
      </c>
      <c r="C47" t="n">
        <v>13</v>
      </c>
      <c r="D47" t="n">
        <v>15</v>
      </c>
      <c r="E47" t="n">
        <v>12</v>
      </c>
      <c r="F47" t="n">
        <v>11</v>
      </c>
      <c r="G47" t="n">
        <v>12</v>
      </c>
      <c r="H47" t="n">
        <v>16</v>
      </c>
      <c r="I47" t="n">
        <v>11</v>
      </c>
      <c r="J47" t="n">
        <v>9</v>
      </c>
      <c r="K47" t="n">
        <v>15</v>
      </c>
      <c r="L47" t="n">
        <v>10</v>
      </c>
      <c r="M47" t="n">
        <v>11</v>
      </c>
      <c r="N47">
        <f>SUM(B47:D47)</f>
        <v/>
      </c>
      <c r="O47">
        <f>SUM(E47:G47)</f>
        <v/>
      </c>
      <c r="P47">
        <f>SUM(H47:J47)</f>
        <v/>
      </c>
      <c r="Q47">
        <f>SUM(K47:M47)</f>
        <v/>
      </c>
      <c r="R47">
        <f>SUM(N47:O47)</f>
        <v/>
      </c>
      <c r="S47">
        <f>SUM(P47:Q47)</f>
        <v/>
      </c>
      <c r="T47">
        <f>R47+S47</f>
        <v/>
      </c>
    </row>
    <row r="48">
      <c r="A48" t="inlineStr">
        <is>
          <t xml:space="preserve"> 임금</t>
        </is>
      </c>
      <c r="B48" t="n">
        <v>8</v>
      </c>
      <c r="C48" t="n">
        <v>10</v>
      </c>
      <c r="D48" t="n">
        <v>9</v>
      </c>
      <c r="E48" t="n">
        <v>7</v>
      </c>
      <c r="F48" t="n">
        <v>8</v>
      </c>
      <c r="G48" t="n">
        <v>8</v>
      </c>
      <c r="H48" t="n">
        <v>12</v>
      </c>
      <c r="I48" t="n">
        <v>9</v>
      </c>
      <c r="J48" t="n">
        <v>7</v>
      </c>
      <c r="K48" t="n">
        <v>12</v>
      </c>
      <c r="L48" t="n">
        <v>8</v>
      </c>
      <c r="M48" t="n">
        <v>8</v>
      </c>
      <c r="N48">
        <f>SUM(B48:D48)</f>
        <v/>
      </c>
      <c r="O48">
        <f>SUM(E48:G48)</f>
        <v/>
      </c>
      <c r="P48">
        <f>SUM(H48:J48)</f>
        <v/>
      </c>
      <c r="Q48">
        <f>SUM(K48:M48)</f>
        <v/>
      </c>
      <c r="R48">
        <f>SUM(N48:O48)</f>
        <v/>
      </c>
      <c r="S48">
        <f>SUM(P48:Q48)</f>
        <v/>
      </c>
      <c r="T48">
        <f>R48+S48</f>
        <v/>
      </c>
    </row>
    <row r="49">
      <c r="A49" t="inlineStr">
        <is>
          <t xml:space="preserve"> 제수당</t>
        </is>
      </c>
      <c r="B49" t="n">
        <v>7</v>
      </c>
      <c r="C49" t="n">
        <v>8</v>
      </c>
      <c r="D49" t="n">
        <v>8</v>
      </c>
      <c r="E49" t="n">
        <v>6</v>
      </c>
      <c r="F49" t="n">
        <v>7</v>
      </c>
      <c r="G49" t="n">
        <v>6</v>
      </c>
      <c r="H49" t="n">
        <v>8</v>
      </c>
      <c r="I49" t="n">
        <v>8</v>
      </c>
      <c r="J49" t="n">
        <v>7</v>
      </c>
      <c r="K49" t="n">
        <v>8</v>
      </c>
      <c r="L49" t="n">
        <v>6</v>
      </c>
      <c r="M49" t="n">
        <v>8</v>
      </c>
      <c r="N49">
        <f>SUM(B49:D49)</f>
        <v/>
      </c>
      <c r="O49">
        <f>SUM(E49:G49)</f>
        <v/>
      </c>
      <c r="P49">
        <f>SUM(H49:J49)</f>
        <v/>
      </c>
      <c r="Q49">
        <f>SUM(K49:M49)</f>
        <v/>
      </c>
      <c r="R49">
        <f>SUM(N49:O49)</f>
        <v/>
      </c>
      <c r="S49">
        <f>SUM(P49:Q49)</f>
        <v/>
      </c>
      <c r="T49">
        <f>R49+S49</f>
        <v/>
      </c>
    </row>
    <row r="50">
      <c r="A50" t="inlineStr">
        <is>
          <t xml:space="preserve"> 잡급</t>
        </is>
      </c>
      <c r="B50" t="n">
        <v>10</v>
      </c>
      <c r="C50" t="n">
        <v>11</v>
      </c>
      <c r="D50" t="n">
        <v>12</v>
      </c>
      <c r="E50" t="n">
        <v>11</v>
      </c>
      <c r="F50" t="n">
        <v>10</v>
      </c>
      <c r="G50" t="n">
        <v>12</v>
      </c>
      <c r="H50" t="n">
        <v>15</v>
      </c>
      <c r="I50" t="n">
        <v>14</v>
      </c>
      <c r="J50" t="n">
        <v>9</v>
      </c>
      <c r="K50" t="n">
        <v>12</v>
      </c>
      <c r="L50" t="n">
        <v>11</v>
      </c>
      <c r="M50" t="n">
        <v>12</v>
      </c>
      <c r="N50">
        <f>SUM(B50:D50)</f>
        <v/>
      </c>
      <c r="O50">
        <f>SUM(E50:G50)</f>
        <v/>
      </c>
      <c r="P50">
        <f>SUM(H50:J50)</f>
        <v/>
      </c>
      <c r="Q50">
        <f>SUM(K50:M50)</f>
        <v/>
      </c>
      <c r="R50">
        <f>SUM(N50:O50)</f>
        <v/>
      </c>
      <c r="S50">
        <f>SUM(P50:Q50)</f>
        <v/>
      </c>
      <c r="T50">
        <f>R50+S50</f>
        <v/>
      </c>
    </row>
    <row r="51">
      <c r="A51" t="inlineStr">
        <is>
          <t xml:space="preserve"> 퇴직급여</t>
        </is>
      </c>
      <c r="B51" t="n">
        <v>7</v>
      </c>
      <c r="C51" t="n">
        <v>11</v>
      </c>
      <c r="D51" t="n">
        <v>9</v>
      </c>
      <c r="E51" t="n">
        <v>7</v>
      </c>
      <c r="F51" t="n">
        <v>9</v>
      </c>
      <c r="G51" t="n">
        <v>8</v>
      </c>
      <c r="H51" t="n">
        <v>10</v>
      </c>
      <c r="I51" t="n">
        <v>8</v>
      </c>
      <c r="J51" t="n">
        <v>8</v>
      </c>
      <c r="K51" t="n">
        <v>10</v>
      </c>
      <c r="L51" t="n">
        <v>9</v>
      </c>
      <c r="M51" t="n">
        <v>9</v>
      </c>
      <c r="N51">
        <f>SUM(B51:D51)</f>
        <v/>
      </c>
      <c r="O51">
        <f>SUM(E51:G51)</f>
        <v/>
      </c>
      <c r="P51">
        <f>SUM(H51:J51)</f>
        <v/>
      </c>
      <c r="Q51">
        <f>SUM(K51:M51)</f>
        <v/>
      </c>
      <c r="R51">
        <f>SUM(N51:O51)</f>
        <v/>
      </c>
      <c r="S51">
        <f>SUM(P51:Q51)</f>
        <v/>
      </c>
      <c r="T51">
        <f>R51+S51</f>
        <v/>
      </c>
    </row>
    <row r="52">
      <c r="A52" t="inlineStr">
        <is>
          <t xml:space="preserve"> 대손상각비</t>
        </is>
      </c>
      <c r="B52" t="n">
        <v>12</v>
      </c>
      <c r="C52" t="n">
        <v>14</v>
      </c>
      <c r="D52" t="n">
        <v>18</v>
      </c>
      <c r="E52" t="n">
        <v>13</v>
      </c>
      <c r="F52" t="n">
        <v>15</v>
      </c>
      <c r="G52" t="n">
        <v>12</v>
      </c>
      <c r="H52" t="n">
        <v>19</v>
      </c>
      <c r="I52" t="n">
        <v>16</v>
      </c>
      <c r="J52" t="n">
        <v>14</v>
      </c>
      <c r="K52" t="n">
        <v>18</v>
      </c>
      <c r="L52" t="n">
        <v>12</v>
      </c>
      <c r="M52" t="n">
        <v>14</v>
      </c>
      <c r="N52">
        <f>SUM(B52:D52)</f>
        <v/>
      </c>
      <c r="O52">
        <f>SUM(E52:G52)</f>
        <v/>
      </c>
      <c r="P52">
        <f>SUM(H52:J52)</f>
        <v/>
      </c>
      <c r="Q52">
        <f>SUM(K52:M52)</f>
        <v/>
      </c>
      <c r="R52">
        <f>SUM(N52:O52)</f>
        <v/>
      </c>
      <c r="S52">
        <f>SUM(P52:Q52)</f>
        <v/>
      </c>
      <c r="T52">
        <f>R52+S52</f>
        <v/>
      </c>
    </row>
    <row r="53">
      <c r="A53" t="inlineStr">
        <is>
          <t xml:space="preserve"> 복리후생비</t>
        </is>
      </c>
      <c r="B53" t="n">
        <v>10</v>
      </c>
      <c r="C53" t="n">
        <v>13</v>
      </c>
      <c r="D53" t="n">
        <v>15</v>
      </c>
      <c r="E53" t="n">
        <v>11</v>
      </c>
      <c r="F53" t="n">
        <v>12</v>
      </c>
      <c r="G53" t="n">
        <v>10</v>
      </c>
      <c r="H53" t="n">
        <v>15</v>
      </c>
      <c r="I53" t="n">
        <v>14</v>
      </c>
      <c r="J53" t="n">
        <v>10</v>
      </c>
      <c r="K53" t="n">
        <v>15</v>
      </c>
      <c r="L53" t="n">
        <v>10</v>
      </c>
      <c r="M53" t="n">
        <v>12</v>
      </c>
      <c r="N53">
        <f>SUM(B53:D53)</f>
        <v/>
      </c>
      <c r="O53">
        <f>SUM(E53:G53)</f>
        <v/>
      </c>
      <c r="P53">
        <f>SUM(H53:J53)</f>
        <v/>
      </c>
      <c r="Q53">
        <f>SUM(K53:M53)</f>
        <v/>
      </c>
      <c r="R53">
        <f>SUM(N53:O53)</f>
        <v/>
      </c>
      <c r="S53">
        <f>SUM(P53:Q53)</f>
        <v/>
      </c>
      <c r="T53">
        <f>R53+S53</f>
        <v/>
      </c>
    </row>
    <row r="54">
      <c r="A54" t="inlineStr">
        <is>
          <t xml:space="preserve"> 여비교통비</t>
        </is>
      </c>
      <c r="B54" t="n">
        <v>9</v>
      </c>
      <c r="C54" t="n">
        <v>11</v>
      </c>
      <c r="D54" t="n">
        <v>10</v>
      </c>
      <c r="E54" t="n">
        <v>8</v>
      </c>
      <c r="F54" t="n">
        <v>10</v>
      </c>
      <c r="G54" t="n">
        <v>8</v>
      </c>
      <c r="H54" t="n">
        <v>12</v>
      </c>
      <c r="I54" t="n">
        <v>10</v>
      </c>
      <c r="J54" t="n">
        <v>8</v>
      </c>
      <c r="K54" t="n">
        <v>12</v>
      </c>
      <c r="L54" t="n">
        <v>8</v>
      </c>
      <c r="M54" t="n">
        <v>9</v>
      </c>
      <c r="N54">
        <f>SUM(B54:D54)</f>
        <v/>
      </c>
      <c r="O54">
        <f>SUM(E54:G54)</f>
        <v/>
      </c>
      <c r="P54">
        <f>SUM(H54:J54)</f>
        <v/>
      </c>
      <c r="Q54">
        <f>SUM(K54:M54)</f>
        <v/>
      </c>
      <c r="R54">
        <f>SUM(N54:O54)</f>
        <v/>
      </c>
      <c r="S54">
        <f>SUM(P54:Q54)</f>
        <v/>
      </c>
      <c r="T54">
        <f>R54+S54</f>
        <v/>
      </c>
    </row>
    <row r="55">
      <c r="A55" t="inlineStr">
        <is>
          <t xml:space="preserve"> 통신비</t>
        </is>
      </c>
      <c r="B55" t="n">
        <v>13</v>
      </c>
      <c r="C55" t="n">
        <v>13</v>
      </c>
      <c r="D55" t="n">
        <v>12</v>
      </c>
      <c r="E55" t="n">
        <v>13</v>
      </c>
      <c r="F55" t="n">
        <v>13</v>
      </c>
      <c r="G55" t="n">
        <v>13</v>
      </c>
      <c r="H55" t="n">
        <v>14</v>
      </c>
      <c r="I55" t="n">
        <v>14</v>
      </c>
      <c r="J55" t="n">
        <v>12</v>
      </c>
      <c r="K55" t="n">
        <v>16</v>
      </c>
      <c r="L55" t="n">
        <v>12</v>
      </c>
      <c r="M55" t="n">
        <v>12</v>
      </c>
      <c r="N55">
        <f>SUM(B55:D55)</f>
        <v/>
      </c>
      <c r="O55">
        <f>SUM(E55:G55)</f>
        <v/>
      </c>
      <c r="P55">
        <f>SUM(H55:J55)</f>
        <v/>
      </c>
      <c r="Q55">
        <f>SUM(K55:M55)</f>
        <v/>
      </c>
      <c r="R55">
        <f>SUM(N55:O55)</f>
        <v/>
      </c>
      <c r="S55">
        <f>SUM(P55:Q55)</f>
        <v/>
      </c>
      <c r="T55">
        <f>R55+S55</f>
        <v/>
      </c>
    </row>
    <row r="56">
      <c r="A56" t="inlineStr">
        <is>
          <t xml:space="preserve"> 소모품비</t>
        </is>
      </c>
      <c r="B56" t="n">
        <v>1</v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1</v>
      </c>
      <c r="I56" t="n">
        <v>2</v>
      </c>
      <c r="J56" t="n">
        <v>1</v>
      </c>
      <c r="K56" t="n">
        <v>1</v>
      </c>
      <c r="L56" t="n">
        <v>1</v>
      </c>
      <c r="M56" t="n">
        <v>1</v>
      </c>
      <c r="N56">
        <f>SUM(B56:D56)</f>
        <v/>
      </c>
      <c r="O56">
        <f>SUM(E56:G56)</f>
        <v/>
      </c>
      <c r="P56">
        <f>SUM(H56:J56)</f>
        <v/>
      </c>
      <c r="Q56">
        <f>SUM(K56:M56)</f>
        <v/>
      </c>
      <c r="R56">
        <f>SUM(N56:O56)</f>
        <v/>
      </c>
      <c r="S56">
        <f>SUM(P56:Q56)</f>
        <v/>
      </c>
      <c r="T56">
        <f>R56+S56</f>
        <v/>
      </c>
    </row>
    <row r="57">
      <c r="A57" t="inlineStr">
        <is>
          <t xml:space="preserve"> 도서인쇄비</t>
        </is>
      </c>
      <c r="B57" t="n">
        <v>9</v>
      </c>
      <c r="C57" t="n">
        <v>12</v>
      </c>
      <c r="D57" t="n">
        <v>13</v>
      </c>
      <c r="E57" t="n">
        <v>11</v>
      </c>
      <c r="F57" t="n">
        <v>13</v>
      </c>
      <c r="G57" t="n">
        <v>10</v>
      </c>
      <c r="H57" t="n">
        <v>12</v>
      </c>
      <c r="I57" t="n">
        <v>14</v>
      </c>
      <c r="J57" t="n">
        <v>11</v>
      </c>
      <c r="K57" t="n">
        <v>14</v>
      </c>
      <c r="L57" t="n">
        <v>10</v>
      </c>
      <c r="M57" t="n">
        <v>11</v>
      </c>
      <c r="N57">
        <f>SUM(B57:D57)</f>
        <v/>
      </c>
      <c r="O57">
        <f>SUM(E57:G57)</f>
        <v/>
      </c>
      <c r="P57">
        <f>SUM(H57:J57)</f>
        <v/>
      </c>
      <c r="Q57">
        <f>SUM(K57:M57)</f>
        <v/>
      </c>
      <c r="R57">
        <f>SUM(N57:O57)</f>
        <v/>
      </c>
      <c r="S57">
        <f>SUM(P57:Q57)</f>
        <v/>
      </c>
      <c r="T57">
        <f>R57+S57</f>
        <v/>
      </c>
    </row>
    <row r="58">
      <c r="A58" t="inlineStr">
        <is>
          <t xml:space="preserve"> 세금과공과</t>
        </is>
      </c>
      <c r="B58" t="n">
        <v>13</v>
      </c>
      <c r="C58" t="n">
        <v>13</v>
      </c>
      <c r="D58" t="n">
        <v>13</v>
      </c>
      <c r="E58" t="n">
        <v>13</v>
      </c>
      <c r="F58" t="n">
        <v>11</v>
      </c>
      <c r="G58" t="n">
        <v>13</v>
      </c>
      <c r="H58" t="n">
        <v>16</v>
      </c>
      <c r="I58" t="n">
        <v>16</v>
      </c>
      <c r="J58" t="n">
        <v>13</v>
      </c>
      <c r="K58" t="n">
        <v>14</v>
      </c>
      <c r="L58" t="n">
        <v>13</v>
      </c>
      <c r="M58" t="n">
        <v>11</v>
      </c>
      <c r="N58">
        <f>SUM(B58:D58)</f>
        <v/>
      </c>
      <c r="O58">
        <f>SUM(E58:G58)</f>
        <v/>
      </c>
      <c r="P58">
        <f>SUM(H58:J58)</f>
        <v/>
      </c>
      <c r="Q58">
        <f>SUM(K58:M58)</f>
        <v/>
      </c>
      <c r="R58">
        <f>SUM(N58:O58)</f>
        <v/>
      </c>
      <c r="S58">
        <f>SUM(P58:Q58)</f>
        <v/>
      </c>
      <c r="T58">
        <f>R58+S58</f>
        <v/>
      </c>
    </row>
    <row r="59">
      <c r="A59" t="inlineStr">
        <is>
          <t xml:space="preserve"> 임차료</t>
        </is>
      </c>
      <c r="B59" t="n">
        <v>9</v>
      </c>
      <c r="C59" t="n">
        <v>13</v>
      </c>
      <c r="D59" t="n">
        <v>11</v>
      </c>
      <c r="E59" t="n">
        <v>11</v>
      </c>
      <c r="F59" t="n">
        <v>13</v>
      </c>
      <c r="G59" t="n">
        <v>11</v>
      </c>
      <c r="H59" t="n">
        <v>14</v>
      </c>
      <c r="I59" t="n">
        <v>13</v>
      </c>
      <c r="J59" t="n">
        <v>11</v>
      </c>
      <c r="K59" t="n">
        <v>12</v>
      </c>
      <c r="L59" t="n">
        <v>10</v>
      </c>
      <c r="M59" t="n">
        <v>13</v>
      </c>
      <c r="N59">
        <f>SUM(B59:D59)</f>
        <v/>
      </c>
      <c r="O59">
        <f>SUM(E59:G59)</f>
        <v/>
      </c>
      <c r="P59">
        <f>SUM(H59:J59)</f>
        <v/>
      </c>
      <c r="Q59">
        <f>SUM(K59:M59)</f>
        <v/>
      </c>
      <c r="R59">
        <f>SUM(N59:O59)</f>
        <v/>
      </c>
      <c r="S59">
        <f>SUM(P59:Q59)</f>
        <v/>
      </c>
      <c r="T59">
        <f>R59+S59</f>
        <v/>
      </c>
    </row>
    <row r="60">
      <c r="A60" t="inlineStr">
        <is>
          <t xml:space="preserve"> 수도광열비</t>
        </is>
      </c>
      <c r="B60" t="n">
        <v>12</v>
      </c>
      <c r="C60" t="n">
        <v>16</v>
      </c>
      <c r="D60" t="n">
        <v>18</v>
      </c>
      <c r="E60" t="n">
        <v>12</v>
      </c>
      <c r="F60" t="n">
        <v>15</v>
      </c>
      <c r="G60" t="n">
        <v>16</v>
      </c>
      <c r="H60" t="n">
        <v>17</v>
      </c>
      <c r="I60" t="n">
        <v>16</v>
      </c>
      <c r="J60" t="n">
        <v>15</v>
      </c>
      <c r="K60" t="n">
        <v>17</v>
      </c>
      <c r="L60" t="n">
        <v>14</v>
      </c>
      <c r="M60" t="n">
        <v>15</v>
      </c>
      <c r="N60">
        <f>SUM(B60:D60)</f>
        <v/>
      </c>
      <c r="O60">
        <f>SUM(E60:G60)</f>
        <v/>
      </c>
      <c r="P60">
        <f>SUM(H60:J60)</f>
        <v/>
      </c>
      <c r="Q60">
        <f>SUM(K60:M60)</f>
        <v/>
      </c>
      <c r="R60">
        <f>SUM(N60:O60)</f>
        <v/>
      </c>
      <c r="S60">
        <f>SUM(P60:Q60)</f>
        <v/>
      </c>
      <c r="T60">
        <f>R60+S60</f>
        <v/>
      </c>
    </row>
    <row r="61">
      <c r="A61" t="inlineStr">
        <is>
          <t xml:space="preserve"> 광고선전비</t>
        </is>
      </c>
      <c r="B61" t="n">
        <v>8</v>
      </c>
      <c r="C61" t="n">
        <v>12</v>
      </c>
      <c r="D61" t="n">
        <v>12</v>
      </c>
      <c r="E61" t="n">
        <v>8</v>
      </c>
      <c r="F61" t="n">
        <v>10</v>
      </c>
      <c r="G61" t="n">
        <v>11</v>
      </c>
      <c r="H61" t="n">
        <v>13</v>
      </c>
      <c r="I61" t="n">
        <v>10</v>
      </c>
      <c r="J61" t="n">
        <v>9</v>
      </c>
      <c r="K61" t="n">
        <v>12</v>
      </c>
      <c r="L61" t="n">
        <v>9</v>
      </c>
      <c r="M61" t="n">
        <v>10</v>
      </c>
      <c r="N61">
        <f>SUM(B61:D61)</f>
        <v/>
      </c>
      <c r="O61">
        <f>SUM(E61:G61)</f>
        <v/>
      </c>
      <c r="P61">
        <f>SUM(H61:J61)</f>
        <v/>
      </c>
      <c r="Q61">
        <f>SUM(K61:M61)</f>
        <v/>
      </c>
      <c r="R61">
        <f>SUM(N61:O61)</f>
        <v/>
      </c>
      <c r="S61">
        <f>SUM(P61:Q61)</f>
        <v/>
      </c>
      <c r="T61">
        <f>R61+S61</f>
        <v/>
      </c>
    </row>
    <row r="62">
      <c r="A62" t="inlineStr">
        <is>
          <t xml:space="preserve"> 접대비(A)</t>
        </is>
      </c>
      <c r="B62" t="n">
        <v>2</v>
      </c>
      <c r="C62" t="n">
        <v>3</v>
      </c>
      <c r="D62" t="n">
        <v>2</v>
      </c>
      <c r="E62" t="n">
        <v>2</v>
      </c>
      <c r="F62" t="n">
        <v>2</v>
      </c>
      <c r="G62" t="n">
        <v>2</v>
      </c>
      <c r="H62" t="n">
        <v>3</v>
      </c>
      <c r="I62" t="n">
        <v>2</v>
      </c>
      <c r="J62" t="n">
        <v>2</v>
      </c>
      <c r="K62" t="n">
        <v>3</v>
      </c>
      <c r="L62" t="n">
        <v>2</v>
      </c>
      <c r="M62" t="n">
        <v>2</v>
      </c>
      <c r="N62">
        <f>SUM(B62:D62)</f>
        <v/>
      </c>
      <c r="O62">
        <f>SUM(E62:G62)</f>
        <v/>
      </c>
      <c r="P62">
        <f>SUM(H62:J62)</f>
        <v/>
      </c>
      <c r="Q62">
        <f>SUM(K62:M62)</f>
        <v/>
      </c>
      <c r="R62">
        <f>SUM(N62:O62)</f>
        <v/>
      </c>
      <c r="S62">
        <f>SUM(P62:Q62)</f>
        <v/>
      </c>
      <c r="T62">
        <f>R62+S62</f>
        <v/>
      </c>
    </row>
    <row r="63">
      <c r="A63" t="inlineStr">
        <is>
          <t xml:space="preserve"> 차량유지비</t>
        </is>
      </c>
      <c r="B63" t="n">
        <v>2</v>
      </c>
      <c r="C63" t="n">
        <v>2</v>
      </c>
      <c r="D63" t="n">
        <v>2</v>
      </c>
      <c r="E63" t="n">
        <v>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>
        <f>SUM(B63:D63)</f>
        <v/>
      </c>
      <c r="O63">
        <f>SUM(E63:G63)</f>
        <v/>
      </c>
      <c r="P63">
        <f>SUM(H63:J63)</f>
        <v/>
      </c>
      <c r="Q63">
        <f>SUM(K63:M63)</f>
        <v/>
      </c>
      <c r="R63">
        <f>SUM(N63:O63)</f>
        <v/>
      </c>
      <c r="S63">
        <f>SUM(P63:Q63)</f>
        <v/>
      </c>
      <c r="T63">
        <f>R63+S63</f>
        <v/>
      </c>
    </row>
    <row r="64">
      <c r="A64" t="inlineStr">
        <is>
          <t xml:space="preserve"> 운반비</t>
        </is>
      </c>
      <c r="B64" t="n">
        <v>8</v>
      </c>
      <c r="C64" t="n">
        <v>10</v>
      </c>
      <c r="D64" t="n">
        <v>12</v>
      </c>
      <c r="E64" t="n">
        <v>9</v>
      </c>
      <c r="F64" t="n">
        <v>11</v>
      </c>
      <c r="G64" t="n">
        <v>9</v>
      </c>
      <c r="H64" t="n">
        <v>12</v>
      </c>
      <c r="I64" t="n">
        <v>12</v>
      </c>
      <c r="J64" t="n">
        <v>9</v>
      </c>
      <c r="K64" t="n">
        <v>11</v>
      </c>
      <c r="L64" t="n">
        <v>9</v>
      </c>
      <c r="M64" t="n">
        <v>9</v>
      </c>
      <c r="N64">
        <f>SUM(B64:D64)</f>
        <v/>
      </c>
      <c r="O64">
        <f>SUM(E64:G64)</f>
        <v/>
      </c>
      <c r="P64">
        <f>SUM(H64:J64)</f>
        <v/>
      </c>
      <c r="Q64">
        <f>SUM(K64:M64)</f>
        <v/>
      </c>
      <c r="R64">
        <f>SUM(N64:O64)</f>
        <v/>
      </c>
      <c r="S64">
        <f>SUM(P64:Q64)</f>
        <v/>
      </c>
      <c r="T64">
        <f>R64+S64</f>
        <v/>
      </c>
    </row>
    <row r="65">
      <c r="A65" t="inlineStr">
        <is>
          <t xml:space="preserve"> 지급수수료</t>
        </is>
      </c>
      <c r="B65" t="n">
        <v>13</v>
      </c>
      <c r="C65" t="n">
        <v>18</v>
      </c>
      <c r="D65" t="n">
        <v>17</v>
      </c>
      <c r="E65" t="n">
        <v>14</v>
      </c>
      <c r="F65" t="n">
        <v>14</v>
      </c>
      <c r="G65" t="n">
        <v>15</v>
      </c>
      <c r="H65" t="n">
        <v>20</v>
      </c>
      <c r="I65" t="n">
        <v>20</v>
      </c>
      <c r="J65" t="n">
        <v>13</v>
      </c>
      <c r="K65" t="n">
        <v>16</v>
      </c>
      <c r="L65" t="n">
        <v>12</v>
      </c>
      <c r="M65" t="n">
        <v>13</v>
      </c>
      <c r="N65">
        <f>SUM(B65:D65)</f>
        <v/>
      </c>
      <c r="O65">
        <f>SUM(E65:G65)</f>
        <v/>
      </c>
      <c r="P65">
        <f>SUM(H65:J65)</f>
        <v/>
      </c>
      <c r="Q65">
        <f>SUM(K65:M65)</f>
        <v/>
      </c>
      <c r="R65">
        <f>SUM(N65:O65)</f>
        <v/>
      </c>
      <c r="S65">
        <f>SUM(P65:Q65)</f>
        <v/>
      </c>
      <c r="T65">
        <f>R65+S65</f>
        <v/>
      </c>
    </row>
    <row r="66">
      <c r="A66" t="inlineStr">
        <is>
          <t xml:space="preserve"> 수출비용(A)</t>
        </is>
      </c>
      <c r="B66" t="n">
        <v>6</v>
      </c>
      <c r="C66" t="n">
        <v>8</v>
      </c>
      <c r="D66" t="n">
        <v>8</v>
      </c>
      <c r="E66" t="n">
        <v>6</v>
      </c>
      <c r="F66" t="n">
        <v>6</v>
      </c>
      <c r="G66" t="n">
        <v>7</v>
      </c>
      <c r="H66" t="n">
        <v>7</v>
      </c>
      <c r="I66" t="n">
        <v>8</v>
      </c>
      <c r="J66" t="n">
        <v>5</v>
      </c>
      <c r="K66" t="n">
        <v>9</v>
      </c>
      <c r="L66" t="n">
        <v>6</v>
      </c>
      <c r="M66" t="n">
        <v>7</v>
      </c>
      <c r="N66">
        <f>SUM(B66:D66)</f>
        <v/>
      </c>
      <c r="O66">
        <f>SUM(E66:G66)</f>
        <v/>
      </c>
      <c r="P66">
        <f>SUM(H66:J66)</f>
        <v/>
      </c>
      <c r="Q66">
        <f>SUM(K66:M66)</f>
        <v/>
      </c>
      <c r="R66">
        <f>SUM(N66:O66)</f>
        <v/>
      </c>
      <c r="S66">
        <f>SUM(P66:Q66)</f>
        <v/>
      </c>
      <c r="T66">
        <f>R66+S66</f>
        <v/>
      </c>
    </row>
    <row r="67">
      <c r="A67" t="inlineStr">
        <is>
          <t xml:space="preserve"> 교육훈련비</t>
        </is>
      </c>
      <c r="B67" t="n">
        <v>7</v>
      </c>
      <c r="C67" t="n">
        <v>8</v>
      </c>
      <c r="D67" t="n">
        <v>9</v>
      </c>
      <c r="E67" t="n">
        <v>7</v>
      </c>
      <c r="F67" t="n">
        <v>8</v>
      </c>
      <c r="G67" t="n">
        <v>6</v>
      </c>
      <c r="H67" t="n">
        <v>10</v>
      </c>
      <c r="I67" t="n">
        <v>8</v>
      </c>
      <c r="J67" t="n">
        <v>7</v>
      </c>
      <c r="K67" t="n">
        <v>9</v>
      </c>
      <c r="L67" t="n">
        <v>8</v>
      </c>
      <c r="M67" t="n">
        <v>7</v>
      </c>
      <c r="N67">
        <f>SUM(B67:D67)</f>
        <v/>
      </c>
      <c r="O67">
        <f>SUM(E67:G67)</f>
        <v/>
      </c>
      <c r="P67">
        <f>SUM(H67:J67)</f>
        <v/>
      </c>
      <c r="Q67">
        <f>SUM(K67:M67)</f>
        <v/>
      </c>
      <c r="R67">
        <f>SUM(N67:O67)</f>
        <v/>
      </c>
      <c r="S67">
        <f>SUM(P67:Q67)</f>
        <v/>
      </c>
      <c r="T67">
        <f>R67+S67</f>
        <v/>
      </c>
    </row>
    <row r="68">
      <c r="A68" t="inlineStr">
        <is>
          <t xml:space="preserve"> 감가상각비</t>
        </is>
      </c>
      <c r="B68" t="n">
        <v>1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>
        <f>SUM(B68:D68)</f>
        <v/>
      </c>
      <c r="O68">
        <f>SUM(E68:G68)</f>
        <v/>
      </c>
      <c r="P68">
        <f>SUM(H68:J68)</f>
        <v/>
      </c>
      <c r="Q68">
        <f>SUM(K68:M68)</f>
        <v/>
      </c>
      <c r="R68">
        <f>SUM(N68:O68)</f>
        <v/>
      </c>
      <c r="S68">
        <f>SUM(P68:Q68)</f>
        <v/>
      </c>
      <c r="T68">
        <f>R68+S68</f>
        <v/>
      </c>
    </row>
    <row r="69">
      <c r="A69" t="inlineStr">
        <is>
          <t xml:space="preserve"> 무형자산상각비</t>
        </is>
      </c>
      <c r="B69" t="n">
        <v>1</v>
      </c>
      <c r="C69" t="n">
        <v>2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1</v>
      </c>
      <c r="J69" t="n">
        <v>1</v>
      </c>
      <c r="K69" t="n">
        <v>2</v>
      </c>
      <c r="L69" t="n">
        <v>1</v>
      </c>
      <c r="M69" t="n">
        <v>1</v>
      </c>
      <c r="N69">
        <f>SUM(B69:D69)</f>
        <v/>
      </c>
      <c r="O69">
        <f>SUM(E69:G69)</f>
        <v/>
      </c>
      <c r="P69">
        <f>SUM(H69:J69)</f>
        <v/>
      </c>
      <c r="Q69">
        <f>SUM(K69:M69)</f>
        <v/>
      </c>
      <c r="R69">
        <f>SUM(N69:O69)</f>
        <v/>
      </c>
      <c r="S69">
        <f>SUM(P69:Q69)</f>
        <v/>
      </c>
      <c r="T69">
        <f>R69+S69</f>
        <v/>
      </c>
    </row>
    <row r="70">
      <c r="A70" t="inlineStr">
        <is>
          <t xml:space="preserve"> 수선유지비</t>
        </is>
      </c>
      <c r="B70" t="n">
        <v>7</v>
      </c>
      <c r="C70" t="n">
        <v>10</v>
      </c>
      <c r="D70" t="n">
        <v>8</v>
      </c>
      <c r="E70" t="n">
        <v>9</v>
      </c>
      <c r="F70" t="n">
        <v>8</v>
      </c>
      <c r="G70" t="n">
        <v>9</v>
      </c>
      <c r="H70" t="n">
        <v>10</v>
      </c>
      <c r="I70" t="n">
        <v>9</v>
      </c>
      <c r="J70" t="n">
        <v>9</v>
      </c>
      <c r="K70" t="n">
        <v>11</v>
      </c>
      <c r="L70" t="n">
        <v>9</v>
      </c>
      <c r="M70" t="n">
        <v>9</v>
      </c>
      <c r="N70">
        <f>SUM(B70:D70)</f>
        <v/>
      </c>
      <c r="O70">
        <f>SUM(E70:G70)</f>
        <v/>
      </c>
      <c r="P70">
        <f>SUM(H70:J70)</f>
        <v/>
      </c>
      <c r="Q70">
        <f>SUM(K70:M70)</f>
        <v/>
      </c>
      <c r="R70">
        <f>SUM(N70:O70)</f>
        <v/>
      </c>
      <c r="S70">
        <f>SUM(P70:Q70)</f>
        <v/>
      </c>
      <c r="T70">
        <f>R70+S70</f>
        <v/>
      </c>
    </row>
    <row r="71">
      <c r="A71" t="inlineStr">
        <is>
          <t xml:space="preserve"> 보험료</t>
        </is>
      </c>
      <c r="B71" t="n">
        <v>4</v>
      </c>
      <c r="C71" t="n">
        <v>5</v>
      </c>
      <c r="D71" t="n">
        <v>5</v>
      </c>
      <c r="E71" t="n">
        <v>4</v>
      </c>
      <c r="F71" t="n">
        <v>5</v>
      </c>
      <c r="G71" t="n">
        <v>4</v>
      </c>
      <c r="H71" t="n">
        <v>6</v>
      </c>
      <c r="I71" t="n">
        <v>5</v>
      </c>
      <c r="J71" t="n">
        <v>4</v>
      </c>
      <c r="K71" t="n">
        <v>5</v>
      </c>
      <c r="L71" t="n">
        <v>4</v>
      </c>
      <c r="M71" t="n">
        <v>5</v>
      </c>
      <c r="N71">
        <f>SUM(B71:D71)</f>
        <v/>
      </c>
      <c r="O71">
        <f>SUM(E71:G71)</f>
        <v/>
      </c>
      <c r="P71">
        <f>SUM(H71:J71)</f>
        <v/>
      </c>
      <c r="Q71">
        <f>SUM(K71:M71)</f>
        <v/>
      </c>
      <c r="R71">
        <f>SUM(N71:O71)</f>
        <v/>
      </c>
      <c r="S71">
        <f>SUM(P71:Q71)</f>
        <v/>
      </c>
      <c r="T71">
        <f>R71+S71</f>
        <v/>
      </c>
    </row>
    <row r="72">
      <c r="A72" t="inlineStr">
        <is>
          <t xml:space="preserve"> 회의비</t>
        </is>
      </c>
      <c r="B72" t="n">
        <v>4</v>
      </c>
      <c r="C72" t="n">
        <v>5</v>
      </c>
      <c r="D72" t="n">
        <v>6</v>
      </c>
      <c r="E72" t="n">
        <v>5</v>
      </c>
      <c r="F72" t="n">
        <v>4</v>
      </c>
      <c r="G72" t="n">
        <v>4</v>
      </c>
      <c r="H72" t="n">
        <v>6</v>
      </c>
      <c r="I72" t="n">
        <v>6</v>
      </c>
      <c r="J72" t="n">
        <v>4</v>
      </c>
      <c r="K72" t="n">
        <v>6</v>
      </c>
      <c r="L72" t="n">
        <v>5</v>
      </c>
      <c r="M72" t="n">
        <v>5</v>
      </c>
      <c r="N72">
        <f>SUM(B72:D72)</f>
        <v/>
      </c>
      <c r="O72">
        <f>SUM(E72:G72)</f>
        <v/>
      </c>
      <c r="P72">
        <f>SUM(H72:J72)</f>
        <v/>
      </c>
      <c r="Q72">
        <f>SUM(K72:M72)</f>
        <v/>
      </c>
      <c r="R72">
        <f>SUM(N72:O72)</f>
        <v/>
      </c>
      <c r="S72">
        <f>SUM(P72:Q72)</f>
        <v/>
      </c>
      <c r="T72">
        <f>R72+S72</f>
        <v/>
      </c>
    </row>
    <row r="73">
      <c r="A73" t="inlineStr">
        <is>
          <t xml:space="preserve"> 시험설치비(A)</t>
        </is>
      </c>
      <c r="B73" t="n">
        <v>8</v>
      </c>
      <c r="C73" t="n">
        <v>8</v>
      </c>
      <c r="D73" t="n">
        <v>8</v>
      </c>
      <c r="E73" t="n">
        <v>7</v>
      </c>
      <c r="F73" t="n">
        <v>7</v>
      </c>
      <c r="G73" t="n">
        <v>7</v>
      </c>
      <c r="H73" t="n">
        <v>9</v>
      </c>
      <c r="I73" t="n">
        <v>8</v>
      </c>
      <c r="J73" t="n">
        <v>6</v>
      </c>
      <c r="K73" t="n">
        <v>9</v>
      </c>
      <c r="L73" t="n">
        <v>8</v>
      </c>
      <c r="M73" t="n">
        <v>7</v>
      </c>
      <c r="N73">
        <f>SUM(B73:D73)</f>
        <v/>
      </c>
      <c r="O73">
        <f>SUM(E73:G73)</f>
        <v/>
      </c>
      <c r="P73">
        <f>SUM(H73:J73)</f>
        <v/>
      </c>
      <c r="Q73">
        <f>SUM(K73:M73)</f>
        <v/>
      </c>
      <c r="R73">
        <f>SUM(N73:O73)</f>
        <v/>
      </c>
      <c r="S73">
        <f>SUM(P73:Q73)</f>
        <v/>
      </c>
      <c r="T73">
        <f>R73+S73</f>
        <v/>
      </c>
    </row>
    <row r="74">
      <c r="A74" t="inlineStr">
        <is>
          <t xml:space="preserve"> 경상연구개발비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3</v>
      </c>
      <c r="L74" t="n">
        <v>2</v>
      </c>
      <c r="M74" t="n">
        <v>2</v>
      </c>
      <c r="N74">
        <f>SUM(B74:D74)</f>
        <v/>
      </c>
      <c r="O74">
        <f>SUM(E74:G74)</f>
        <v/>
      </c>
      <c r="P74">
        <f>SUM(H74:J74)</f>
        <v/>
      </c>
      <c r="Q74">
        <f>SUM(K74:M74)</f>
        <v/>
      </c>
      <c r="R74">
        <f>SUM(N74:O74)</f>
        <v/>
      </c>
      <c r="S74">
        <f>SUM(P74:Q74)</f>
        <v/>
      </c>
      <c r="T74">
        <f>R74+S74</f>
        <v/>
      </c>
    </row>
    <row r="75">
      <c r="A75" t="inlineStr">
        <is>
          <t xml:space="preserve"> 연구개발비(국책과제</t>
        </is>
      </c>
      <c r="B75" t="n">
        <v>13</v>
      </c>
      <c r="C75" t="n">
        <v>19</v>
      </c>
      <c r="D75" t="n">
        <v>15</v>
      </c>
      <c r="E75" t="n">
        <v>11</v>
      </c>
      <c r="F75" t="n">
        <v>15</v>
      </c>
      <c r="G75" t="n">
        <v>15</v>
      </c>
      <c r="H75" t="n">
        <v>16</v>
      </c>
      <c r="I75" t="n">
        <v>15</v>
      </c>
      <c r="J75" t="n">
        <v>13</v>
      </c>
      <c r="K75" t="n">
        <v>16</v>
      </c>
      <c r="L75" t="n">
        <v>14</v>
      </c>
      <c r="M75" t="n">
        <v>16</v>
      </c>
      <c r="N75">
        <f>SUM(B75:D75)</f>
        <v/>
      </c>
      <c r="O75">
        <f>SUM(E75:G75)</f>
        <v/>
      </c>
      <c r="P75">
        <f>SUM(H75:J75)</f>
        <v/>
      </c>
      <c r="Q75">
        <f>SUM(K75:M75)</f>
        <v/>
      </c>
      <c r="R75">
        <f>SUM(N75:O75)</f>
        <v/>
      </c>
      <c r="S75">
        <f>SUM(P75:Q75)</f>
        <v/>
      </c>
      <c r="T75">
        <f>R75+S75</f>
        <v/>
      </c>
    </row>
    <row r="76">
      <c r="A76" t="inlineStr">
        <is>
          <t xml:space="preserve"> 판매보증비</t>
        </is>
      </c>
      <c r="B76" t="n">
        <v>14</v>
      </c>
      <c r="C76" t="n">
        <v>14</v>
      </c>
      <c r="D76" t="n">
        <v>17</v>
      </c>
      <c r="E76" t="n">
        <v>14</v>
      </c>
      <c r="F76" t="n">
        <v>14</v>
      </c>
      <c r="G76" t="n">
        <v>11</v>
      </c>
      <c r="H76" t="n">
        <v>16</v>
      </c>
      <c r="I76" t="n">
        <v>14</v>
      </c>
      <c r="J76" t="n">
        <v>15</v>
      </c>
      <c r="K76" t="n">
        <v>15</v>
      </c>
      <c r="L76" t="n">
        <v>14</v>
      </c>
      <c r="M76" t="n">
        <v>16</v>
      </c>
      <c r="N76">
        <f>SUM(B76:D76)</f>
        <v/>
      </c>
      <c r="O76">
        <f>SUM(E76:G76)</f>
        <v/>
      </c>
      <c r="P76">
        <f>SUM(H76:J76)</f>
        <v/>
      </c>
      <c r="Q76">
        <f>SUM(K76:M76)</f>
        <v/>
      </c>
      <c r="R76">
        <f>SUM(N76:O76)</f>
        <v/>
      </c>
      <c r="S76">
        <f>SUM(P76:Q76)</f>
        <v/>
      </c>
      <c r="T76">
        <f>R76+S76</f>
        <v/>
      </c>
    </row>
    <row r="77">
      <c r="A77" t="inlineStr">
        <is>
          <t xml:space="preserve"> 대손충당금환입</t>
        </is>
      </c>
      <c r="B77" t="n">
        <v>2</v>
      </c>
      <c r="C77" t="n">
        <v>3</v>
      </c>
      <c r="D77" t="n">
        <v>3</v>
      </c>
      <c r="E77" t="n">
        <v>2</v>
      </c>
      <c r="F77" t="n">
        <v>3</v>
      </c>
      <c r="G77" t="n">
        <v>2</v>
      </c>
      <c r="H77" t="n">
        <v>2</v>
      </c>
      <c r="I77" t="n">
        <v>3</v>
      </c>
      <c r="J77" t="n">
        <v>2</v>
      </c>
      <c r="K77" t="n">
        <v>3</v>
      </c>
      <c r="L77" t="n">
        <v>2</v>
      </c>
      <c r="M77" t="n">
        <v>3</v>
      </c>
      <c r="N77">
        <f>SUM(B77:D77)</f>
        <v/>
      </c>
      <c r="O77">
        <f>SUM(E77:G77)</f>
        <v/>
      </c>
      <c r="P77">
        <f>SUM(H77:J77)</f>
        <v/>
      </c>
      <c r="Q77">
        <f>SUM(K77:M77)</f>
        <v/>
      </c>
      <c r="R77">
        <f>SUM(N77:O77)</f>
        <v/>
      </c>
      <c r="S77">
        <f>SUM(P77:Q77)</f>
        <v/>
      </c>
      <c r="T77">
        <f>R77+S77</f>
        <v/>
      </c>
    </row>
    <row r="78">
      <c r="A78" t="inlineStr">
        <is>
          <t xml:space="preserve"> 불량제품손실</t>
        </is>
      </c>
      <c r="B78" t="n">
        <v>7</v>
      </c>
      <c r="C78" t="n">
        <v>10</v>
      </c>
      <c r="D78" t="n">
        <v>10</v>
      </c>
      <c r="E78" t="n">
        <v>8</v>
      </c>
      <c r="F78" t="n">
        <v>8</v>
      </c>
      <c r="G78" t="n">
        <v>9</v>
      </c>
      <c r="H78" t="n">
        <v>11</v>
      </c>
      <c r="I78" t="n">
        <v>10</v>
      </c>
      <c r="J78" t="n">
        <v>7</v>
      </c>
      <c r="K78" t="n">
        <v>11</v>
      </c>
      <c r="L78" t="n">
        <v>9</v>
      </c>
      <c r="M78" t="n">
        <v>9</v>
      </c>
      <c r="N78">
        <f>SUM(B78:D78)</f>
        <v/>
      </c>
      <c r="O78">
        <f>SUM(E78:G78)</f>
        <v/>
      </c>
      <c r="P78">
        <f>SUM(H78:J78)</f>
        <v/>
      </c>
      <c r="Q78">
        <f>SUM(K78:M78)</f>
        <v/>
      </c>
      <c r="R78">
        <f>SUM(N78:O78)</f>
        <v/>
      </c>
      <c r="S78">
        <f>SUM(P78:Q78)</f>
        <v/>
      </c>
      <c r="T78">
        <f>R78+S78</f>
        <v/>
      </c>
    </row>
    <row r="79">
      <c r="A79" t="inlineStr">
        <is>
          <t xml:space="preserve"> 판관비_기타</t>
        </is>
      </c>
      <c r="B79" t="n">
        <v>9</v>
      </c>
      <c r="C79" t="n">
        <v>15</v>
      </c>
      <c r="D79" t="n">
        <v>15</v>
      </c>
      <c r="E79" t="n">
        <v>11</v>
      </c>
      <c r="F79" t="n">
        <v>12</v>
      </c>
      <c r="G79" t="n">
        <v>11</v>
      </c>
      <c r="H79" t="n">
        <v>16</v>
      </c>
      <c r="I79" t="n">
        <v>13</v>
      </c>
      <c r="J79" t="n">
        <v>10</v>
      </c>
      <c r="K79" t="n">
        <v>13</v>
      </c>
      <c r="L79" t="n">
        <v>10</v>
      </c>
      <c r="M79" t="n">
        <v>12</v>
      </c>
      <c r="N79">
        <f>SUM(B79:D79)</f>
        <v/>
      </c>
      <c r="O79">
        <f>SUM(E79:G79)</f>
        <v/>
      </c>
      <c r="P79">
        <f>SUM(H79:J79)</f>
        <v/>
      </c>
      <c r="Q79">
        <f>SUM(K79:M79)</f>
        <v/>
      </c>
      <c r="R79">
        <f>SUM(N79:O79)</f>
        <v/>
      </c>
      <c r="S79">
        <f>SUM(P79:Q79)</f>
        <v/>
      </c>
      <c r="T79">
        <f>R79+S79</f>
        <v/>
      </c>
    </row>
    <row r="80">
      <c r="A80" t="inlineStr">
        <is>
          <t xml:space="preserve"> 수출비용_해상운임(</t>
        </is>
      </c>
      <c r="B80" t="n">
        <v>7</v>
      </c>
      <c r="C80" t="n">
        <v>10</v>
      </c>
      <c r="D80" t="n">
        <v>8</v>
      </c>
      <c r="E80" t="n">
        <v>6</v>
      </c>
      <c r="F80" t="n">
        <v>7</v>
      </c>
      <c r="G80" t="n">
        <v>8</v>
      </c>
      <c r="H80" t="n">
        <v>9</v>
      </c>
      <c r="I80" t="n">
        <v>9</v>
      </c>
      <c r="J80" t="n">
        <v>8</v>
      </c>
      <c r="K80" t="n">
        <v>10</v>
      </c>
      <c r="L80" t="n">
        <v>7</v>
      </c>
      <c r="M80" t="n">
        <v>8</v>
      </c>
      <c r="N80">
        <f>SUM(B80:D80)</f>
        <v/>
      </c>
      <c r="O80">
        <f>SUM(E80:G80)</f>
        <v/>
      </c>
      <c r="P80">
        <f>SUM(H80:J80)</f>
        <v/>
      </c>
      <c r="Q80">
        <f>SUM(K80:M80)</f>
        <v/>
      </c>
      <c r="R80">
        <f>SUM(N80:O80)</f>
        <v/>
      </c>
      <c r="S80">
        <f>SUM(P80:Q80)</f>
        <v/>
      </c>
      <c r="T80">
        <f>R80+S80</f>
        <v/>
      </c>
    </row>
    <row r="81">
      <c r="A81" t="inlineStr">
        <is>
          <t xml:space="preserve"> 영업이익(A)</t>
        </is>
      </c>
      <c r="B81">
        <f>B41-B42</f>
        <v/>
      </c>
      <c r="C81">
        <f>C41-C42</f>
        <v/>
      </c>
      <c r="D81">
        <f>D41-D42</f>
        <v/>
      </c>
      <c r="E81">
        <f>E41-E42</f>
        <v/>
      </c>
      <c r="F81">
        <f>F41-F42</f>
        <v/>
      </c>
      <c r="G81">
        <f>G41-G42</f>
        <v/>
      </c>
      <c r="H81">
        <f>H41-H42</f>
        <v/>
      </c>
      <c r="I81">
        <f>I41-I42</f>
        <v/>
      </c>
      <c r="J81">
        <f>J41-J42</f>
        <v/>
      </c>
      <c r="K81">
        <f>K41-K42</f>
        <v/>
      </c>
      <c r="L81">
        <f>L41-L42</f>
        <v/>
      </c>
      <c r="M81">
        <f>M41-M42</f>
        <v/>
      </c>
      <c r="N81">
        <f>N41-N42</f>
        <v/>
      </c>
      <c r="O81">
        <f>O41-O42</f>
        <v/>
      </c>
      <c r="P81">
        <f>P41-P42</f>
        <v/>
      </c>
      <c r="Q81">
        <f>Q41-Q42</f>
        <v/>
      </c>
      <c r="R81">
        <f>R41-R42</f>
        <v/>
      </c>
      <c r="S81">
        <f>S41-S42</f>
        <v/>
      </c>
      <c r="T81">
        <f>T41-T42</f>
        <v/>
      </c>
    </row>
    <row r="82">
      <c r="B82">
        <f>IFERROR(B81/B5,0)</f>
        <v/>
      </c>
      <c r="C82">
        <f>IFERROR(C81/C5,0)</f>
        <v/>
      </c>
      <c r="D82">
        <f>IFERROR(D81/D5,0)</f>
        <v/>
      </c>
      <c r="E82">
        <f>IFERROR(E81/E5,0)</f>
        <v/>
      </c>
      <c r="F82">
        <f>IFERROR(F81/F5,0)</f>
        <v/>
      </c>
      <c r="G82">
        <f>IFERROR(G81/G5,0)</f>
        <v/>
      </c>
      <c r="H82">
        <f>IFERROR(H81/H5,0)</f>
        <v/>
      </c>
      <c r="I82">
        <f>IFERROR(I81/I5,0)</f>
        <v/>
      </c>
      <c r="J82">
        <f>IFERROR(J81/J5,0)</f>
        <v/>
      </c>
      <c r="K82">
        <f>IFERROR(K81/K5,0)</f>
        <v/>
      </c>
      <c r="L82">
        <f>IFERROR(L81/L5,0)</f>
        <v/>
      </c>
      <c r="M82">
        <f>IFERROR(M81/M5,0)</f>
        <v/>
      </c>
      <c r="N82">
        <f>IFERROR(N81/N5,0)</f>
        <v/>
      </c>
      <c r="O82">
        <f>IFERROR(O81/O5,0)</f>
        <v/>
      </c>
      <c r="P82">
        <f>IFERROR(P81/P5,0)</f>
        <v/>
      </c>
      <c r="Q82">
        <f>IFERROR(Q81/Q5,0)</f>
        <v/>
      </c>
      <c r="R82">
        <f>IFERROR(R81/R5,0)</f>
        <v/>
      </c>
      <c r="S82">
        <f>IFERROR(S81/S5,0)</f>
        <v/>
      </c>
      <c r="T82">
        <f>IFERROR(T81/T5,0)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 xml:space="preserve"> 1-2) 고정형 연간 손익계산서 (단위 : 백만원)</t>
        </is>
      </c>
    </row>
    <row r="2">
      <c r="T2" t="inlineStr">
        <is>
          <t>(단위 : 대, 백만원)</t>
        </is>
      </c>
    </row>
    <row r="3">
      <c r="A3" s="2" t="inlineStr">
        <is>
          <t>구분</t>
        </is>
      </c>
      <c r="B3" s="2" t="inlineStr">
        <is>
          <t>1월</t>
        </is>
      </c>
      <c r="C3" s="2" t="inlineStr">
        <is>
          <t>2월</t>
        </is>
      </c>
      <c r="D3" s="2" t="inlineStr">
        <is>
          <t>3월</t>
        </is>
      </c>
      <c r="E3" s="2" t="inlineStr">
        <is>
          <t>4월</t>
        </is>
      </c>
      <c r="F3" s="2" t="inlineStr">
        <is>
          <t>5월</t>
        </is>
      </c>
      <c r="G3" s="2" t="inlineStr">
        <is>
          <t>6월</t>
        </is>
      </c>
      <c r="H3" s="2" t="inlineStr">
        <is>
          <t>7월</t>
        </is>
      </c>
      <c r="I3" s="2" t="inlineStr">
        <is>
          <t>8월</t>
        </is>
      </c>
      <c r="J3" s="2" t="inlineStr">
        <is>
          <t>9월</t>
        </is>
      </c>
      <c r="K3" s="2" t="inlineStr">
        <is>
          <t>10월</t>
        </is>
      </c>
      <c r="L3" s="2" t="inlineStr">
        <is>
          <t>11월</t>
        </is>
      </c>
      <c r="M3" s="2" t="inlineStr">
        <is>
          <t>12월</t>
        </is>
      </c>
      <c r="N3" s="2" t="inlineStr">
        <is>
          <t>1/4분기</t>
        </is>
      </c>
      <c r="O3" s="2" t="inlineStr">
        <is>
          <t>2/4분기</t>
        </is>
      </c>
      <c r="P3" s="2" t="inlineStr">
        <is>
          <t>3/4분기</t>
        </is>
      </c>
      <c r="Q3" s="2" t="inlineStr">
        <is>
          <t>4/4분기</t>
        </is>
      </c>
      <c r="R3" s="2" t="inlineStr">
        <is>
          <t>상반기</t>
        </is>
      </c>
      <c r="S3" s="2" t="inlineStr">
        <is>
          <t>하반기</t>
        </is>
      </c>
      <c r="T3" s="2" t="inlineStr">
        <is>
          <t>총계</t>
        </is>
      </c>
    </row>
    <row r="4">
      <c r="A4" t="inlineStr">
        <is>
          <t xml:space="preserve">   매출수량</t>
        </is>
      </c>
      <c r="B4" t="n">
        <v>95604</v>
      </c>
      <c r="C4" t="n">
        <v>119154</v>
      </c>
      <c r="D4" t="n">
        <v>96258</v>
      </c>
      <c r="E4" t="n">
        <v>89397</v>
      </c>
      <c r="F4" t="n">
        <v>92129</v>
      </c>
      <c r="G4" t="n">
        <v>110148</v>
      </c>
      <c r="H4" t="n">
        <v>117146</v>
      </c>
      <c r="I4" t="n">
        <v>134385</v>
      </c>
      <c r="J4" t="n">
        <v>137744</v>
      </c>
      <c r="K4" t="n">
        <v>136914</v>
      </c>
      <c r="L4" t="n">
        <v>137737</v>
      </c>
      <c r="M4" t="n">
        <v>97932</v>
      </c>
      <c r="N4">
        <f>SUM(B4:D4)</f>
        <v/>
      </c>
      <c r="O4">
        <f>SUM(E4:G4)</f>
        <v/>
      </c>
      <c r="P4">
        <f>SUM(H4:J4)</f>
        <v/>
      </c>
      <c r="Q4">
        <f>SUM(K4:M4)</f>
        <v/>
      </c>
      <c r="R4">
        <f>SUM(N4:O4)</f>
        <v/>
      </c>
      <c r="S4">
        <f>SUM(P4:Q4)</f>
        <v/>
      </c>
      <c r="T4">
        <f>R4+S4</f>
        <v/>
      </c>
    </row>
    <row r="5">
      <c r="A5" t="inlineStr">
        <is>
          <t xml:space="preserve"> 매출액(Total)</t>
        </is>
      </c>
      <c r="B5" t="n">
        <v>9941</v>
      </c>
      <c r="C5" t="n">
        <v>7075</v>
      </c>
      <c r="D5" t="n">
        <v>5712</v>
      </c>
      <c r="E5" t="n">
        <v>12909</v>
      </c>
      <c r="F5" t="n">
        <v>10153</v>
      </c>
      <c r="G5" t="n">
        <v>5874</v>
      </c>
      <c r="H5" t="n">
        <v>14955</v>
      </c>
      <c r="I5" t="n">
        <v>15426</v>
      </c>
      <c r="J5" t="n">
        <v>11355</v>
      </c>
      <c r="K5" t="n">
        <v>6413</v>
      </c>
      <c r="L5" t="n">
        <v>16670</v>
      </c>
      <c r="M5" t="n">
        <v>15163</v>
      </c>
      <c r="N5">
        <f>SUM(B5:D5)</f>
        <v/>
      </c>
      <c r="O5">
        <f>SUM(E5:G5)</f>
        <v/>
      </c>
      <c r="P5">
        <f>SUM(H5:J5)</f>
        <v/>
      </c>
      <c r="Q5">
        <f>SUM(K5:M5)</f>
        <v/>
      </c>
      <c r="R5">
        <f>SUM(N5:O5)</f>
        <v/>
      </c>
      <c r="S5">
        <f>SUM(P5:Q5)</f>
        <v/>
      </c>
      <c r="T5">
        <f>R5+S5</f>
        <v/>
      </c>
    </row>
    <row r="6">
      <c r="A6" t="inlineStr">
        <is>
          <t xml:space="preserve"> 매출원가(A)Tot</t>
        </is>
      </c>
      <c r="B6">
        <f>SUM(B8:B40)</f>
        <v/>
      </c>
      <c r="C6">
        <f>SUM(C8:C40)</f>
        <v/>
      </c>
      <c r="D6">
        <f>SUM(D8:D40)</f>
        <v/>
      </c>
      <c r="E6">
        <f>SUM(E8:E40)</f>
        <v/>
      </c>
      <c r="F6">
        <f>SUM(F8:F40)</f>
        <v/>
      </c>
      <c r="G6">
        <f>SUM(G8:G40)</f>
        <v/>
      </c>
      <c r="H6">
        <f>SUM(H8:H40)</f>
        <v/>
      </c>
      <c r="I6">
        <f>SUM(I8:I40)</f>
        <v/>
      </c>
      <c r="J6">
        <f>SUM(J8:J40)</f>
        <v/>
      </c>
      <c r="K6">
        <f>SUM(K8:K40)</f>
        <v/>
      </c>
      <c r="L6">
        <f>SUM(L8:L40)</f>
        <v/>
      </c>
      <c r="M6">
        <f>SUM(M8:M40)</f>
        <v/>
      </c>
      <c r="N6">
        <f>SUM(B6:D6)</f>
        <v/>
      </c>
      <c r="O6">
        <f>SUM(E6:G6)</f>
        <v/>
      </c>
      <c r="P6">
        <f>SUM(H6:J6)</f>
        <v/>
      </c>
      <c r="Q6">
        <f>SUM(K6:M6)</f>
        <v/>
      </c>
      <c r="R6">
        <f>SUM(N6:O6)</f>
        <v/>
      </c>
      <c r="S6">
        <f>SUM(P6:Q6)</f>
        <v/>
      </c>
      <c r="T6">
        <f>R6+S6</f>
        <v/>
      </c>
    </row>
    <row r="7">
      <c r="B7">
        <f>IFERROR(B6/B5,0)</f>
        <v/>
      </c>
      <c r="C7">
        <f>IFERROR(C6/C5,0)</f>
        <v/>
      </c>
      <c r="D7">
        <f>IFERROR(D6/D5,0)</f>
        <v/>
      </c>
      <c r="E7">
        <f>IFERROR(E6/E5,0)</f>
        <v/>
      </c>
      <c r="F7">
        <f>IFERROR(F6/F5,0)</f>
        <v/>
      </c>
      <c r="G7">
        <f>IFERROR(G6/G5,0)</f>
        <v/>
      </c>
      <c r="H7">
        <f>IFERROR(H6/H5,0)</f>
        <v/>
      </c>
      <c r="I7">
        <f>IFERROR(I6/I5,0)</f>
        <v/>
      </c>
      <c r="J7">
        <f>IFERROR(J6/J5,0)</f>
        <v/>
      </c>
      <c r="K7">
        <f>IFERROR(K6/K5,0)</f>
        <v/>
      </c>
      <c r="L7">
        <f>IFERROR(L6/L5,0)</f>
        <v/>
      </c>
      <c r="M7">
        <f>IFERROR(M6/M5,0)</f>
        <v/>
      </c>
      <c r="N7">
        <f>IFERROR(N6/N5,0)</f>
        <v/>
      </c>
      <c r="O7">
        <f>IFERROR(O6/O5,0)</f>
        <v/>
      </c>
      <c r="P7">
        <f>IFERROR(P6/P5,0)</f>
        <v/>
      </c>
      <c r="Q7">
        <f>IFERROR(Q6/Q5,0)</f>
        <v/>
      </c>
      <c r="R7">
        <f>IFERROR(R6/R5,0)</f>
        <v/>
      </c>
      <c r="S7">
        <f>IFERROR(S6/S5,0)</f>
        <v/>
      </c>
      <c r="T7">
        <f>IFERROR(T6/T5,0)</f>
        <v/>
      </c>
    </row>
    <row r="8">
      <c r="A8" t="inlineStr">
        <is>
          <t xml:space="preserve"> 상품매출원가</t>
        </is>
      </c>
      <c r="B8" t="n">
        <v>446</v>
      </c>
      <c r="C8" t="n">
        <v>274</v>
      </c>
      <c r="D8" t="n">
        <v>220</v>
      </c>
      <c r="E8" t="n">
        <v>524</v>
      </c>
      <c r="F8" t="n">
        <v>436</v>
      </c>
      <c r="G8" t="n">
        <v>253</v>
      </c>
      <c r="H8" t="n">
        <v>640</v>
      </c>
      <c r="I8" t="n">
        <v>586</v>
      </c>
      <c r="J8" t="n">
        <v>387</v>
      </c>
      <c r="K8" t="n">
        <v>241</v>
      </c>
      <c r="L8" t="n">
        <v>627</v>
      </c>
      <c r="M8" t="n">
        <v>648</v>
      </c>
      <c r="N8">
        <f>SUM(B8:D8)</f>
        <v/>
      </c>
      <c r="O8">
        <f>SUM(E8:G8)</f>
        <v/>
      </c>
      <c r="P8">
        <f>SUM(H8:J8)</f>
        <v/>
      </c>
      <c r="Q8">
        <f>SUM(K8:M8)</f>
        <v/>
      </c>
      <c r="R8">
        <f>SUM(N8:O8)</f>
        <v/>
      </c>
      <c r="S8">
        <f>SUM(P8:Q8)</f>
        <v/>
      </c>
      <c r="T8">
        <f>R8+S8</f>
        <v/>
      </c>
    </row>
    <row r="9">
      <c r="A9" t="inlineStr">
        <is>
          <t xml:space="preserve"> 재고실사차이</t>
        </is>
      </c>
      <c r="B9" t="n">
        <v>288</v>
      </c>
      <c r="C9" t="n">
        <v>215</v>
      </c>
      <c r="D9" t="n">
        <v>143</v>
      </c>
      <c r="E9" t="n">
        <v>332</v>
      </c>
      <c r="F9" t="n">
        <v>331</v>
      </c>
      <c r="G9" t="n">
        <v>161</v>
      </c>
      <c r="H9" t="n">
        <v>462</v>
      </c>
      <c r="I9" t="n">
        <v>391</v>
      </c>
      <c r="J9" t="n">
        <v>354</v>
      </c>
      <c r="K9" t="n">
        <v>208</v>
      </c>
      <c r="L9" t="n">
        <v>505</v>
      </c>
      <c r="M9" t="n">
        <v>477</v>
      </c>
      <c r="N9">
        <f>SUM(B9:D9)</f>
        <v/>
      </c>
      <c r="O9">
        <f>SUM(E9:G9)</f>
        <v/>
      </c>
      <c r="P9">
        <f>SUM(H9:J9)</f>
        <v/>
      </c>
      <c r="Q9">
        <f>SUM(K9:M9)</f>
        <v/>
      </c>
      <c r="R9">
        <f>SUM(N9:O9)</f>
        <v/>
      </c>
      <c r="S9">
        <f>SUM(P9:Q9)</f>
        <v/>
      </c>
      <c r="T9">
        <f>R9+S9</f>
        <v/>
      </c>
    </row>
    <row r="10">
      <c r="A10" t="inlineStr">
        <is>
          <t xml:space="preserve"> 환불부채</t>
        </is>
      </c>
      <c r="B10" t="n">
        <v>322</v>
      </c>
      <c r="C10" t="n">
        <v>232</v>
      </c>
      <c r="D10" t="n">
        <v>223</v>
      </c>
      <c r="E10" t="n">
        <v>516</v>
      </c>
      <c r="F10" t="n">
        <v>339</v>
      </c>
      <c r="G10" t="n">
        <v>197</v>
      </c>
      <c r="H10" t="n">
        <v>630</v>
      </c>
      <c r="I10" t="n">
        <v>546</v>
      </c>
      <c r="J10" t="n">
        <v>469</v>
      </c>
      <c r="K10" t="n">
        <v>264</v>
      </c>
      <c r="L10" t="n">
        <v>665</v>
      </c>
      <c r="M10" t="n">
        <v>611</v>
      </c>
      <c r="N10">
        <f>SUM(B10:D10)</f>
        <v/>
      </c>
      <c r="O10">
        <f>SUM(E10:G10)</f>
        <v/>
      </c>
      <c r="P10">
        <f>SUM(H10:J10)</f>
        <v/>
      </c>
      <c r="Q10">
        <f>SUM(K10:M10)</f>
        <v/>
      </c>
      <c r="R10">
        <f>SUM(N10:O10)</f>
        <v/>
      </c>
      <c r="S10">
        <f>SUM(P10:Q10)</f>
        <v/>
      </c>
      <c r="T10">
        <f>R10+S10</f>
        <v/>
      </c>
    </row>
    <row r="11">
      <c r="A11" t="inlineStr">
        <is>
          <t xml:space="preserve"> 평가손실</t>
        </is>
      </c>
      <c r="B11" t="n">
        <v>257</v>
      </c>
      <c r="C11" t="n">
        <v>219</v>
      </c>
      <c r="D11" t="n">
        <v>166</v>
      </c>
      <c r="E11" t="n">
        <v>337</v>
      </c>
      <c r="F11" t="n">
        <v>271</v>
      </c>
      <c r="G11" t="n">
        <v>171</v>
      </c>
      <c r="H11" t="n">
        <v>473</v>
      </c>
      <c r="I11" t="n">
        <v>429</v>
      </c>
      <c r="J11" t="n">
        <v>296</v>
      </c>
      <c r="K11" t="n">
        <v>206</v>
      </c>
      <c r="L11" t="n">
        <v>467</v>
      </c>
      <c r="M11" t="n">
        <v>439</v>
      </c>
      <c r="N11">
        <f>SUM(B11:D11)</f>
        <v/>
      </c>
      <c r="O11">
        <f>SUM(E11:G11)</f>
        <v/>
      </c>
      <c r="P11">
        <f>SUM(H11:J11)</f>
        <v/>
      </c>
      <c r="Q11">
        <f>SUM(K11:M11)</f>
        <v/>
      </c>
      <c r="R11">
        <f>SUM(N11:O11)</f>
        <v/>
      </c>
      <c r="S11">
        <f>SUM(P11:Q11)</f>
        <v/>
      </c>
      <c r="T11">
        <f>R11+S11</f>
        <v/>
      </c>
    </row>
    <row r="12">
      <c r="A12" t="inlineStr">
        <is>
          <t xml:space="preserve"> 관세환급</t>
        </is>
      </c>
      <c r="B12" t="n">
        <v>287</v>
      </c>
      <c r="C12" t="n">
        <v>182</v>
      </c>
      <c r="D12" t="n">
        <v>153</v>
      </c>
      <c r="E12" t="n">
        <v>328</v>
      </c>
      <c r="F12" t="n">
        <v>275</v>
      </c>
      <c r="G12" t="n">
        <v>171</v>
      </c>
      <c r="H12" t="n">
        <v>390</v>
      </c>
      <c r="I12" t="n">
        <v>409</v>
      </c>
      <c r="J12" t="n">
        <v>305</v>
      </c>
      <c r="K12" t="n">
        <v>195</v>
      </c>
      <c r="L12" t="n">
        <v>433</v>
      </c>
      <c r="M12" t="n">
        <v>458</v>
      </c>
      <c r="N12">
        <f>SUM(B12:D12)</f>
        <v/>
      </c>
      <c r="O12">
        <f>SUM(E12:G12)</f>
        <v/>
      </c>
      <c r="P12">
        <f>SUM(H12:J12)</f>
        <v/>
      </c>
      <c r="Q12">
        <f>SUM(K12:M12)</f>
        <v/>
      </c>
      <c r="R12">
        <f>SUM(N12:O12)</f>
        <v/>
      </c>
      <c r="S12">
        <f>SUM(P12:Q12)</f>
        <v/>
      </c>
      <c r="T12">
        <f>R12+S12</f>
        <v/>
      </c>
    </row>
    <row r="13">
      <c r="A13" t="inlineStr">
        <is>
          <t xml:space="preserve"> 매출원가조정기타</t>
        </is>
      </c>
      <c r="B13" t="n">
        <v>94</v>
      </c>
      <c r="C13" t="n">
        <v>85</v>
      </c>
      <c r="D13" t="n">
        <v>71</v>
      </c>
      <c r="E13" t="n">
        <v>139</v>
      </c>
      <c r="F13" t="n">
        <v>111</v>
      </c>
      <c r="G13" t="n">
        <v>68</v>
      </c>
      <c r="H13" t="n">
        <v>182</v>
      </c>
      <c r="I13" t="n">
        <v>155</v>
      </c>
      <c r="J13" t="n">
        <v>125</v>
      </c>
      <c r="K13" t="n">
        <v>77</v>
      </c>
      <c r="L13" t="n">
        <v>194</v>
      </c>
      <c r="M13" t="n">
        <v>159</v>
      </c>
      <c r="N13">
        <f>SUM(B13:D13)</f>
        <v/>
      </c>
      <c r="O13">
        <f>SUM(E13:G13)</f>
        <v/>
      </c>
      <c r="P13">
        <f>SUM(H13:J13)</f>
        <v/>
      </c>
      <c r="Q13">
        <f>SUM(K13:M13)</f>
        <v/>
      </c>
      <c r="R13">
        <f>SUM(N13:O13)</f>
        <v/>
      </c>
      <c r="S13">
        <f>SUM(P13:Q13)</f>
        <v/>
      </c>
      <c r="T13">
        <f>R13+S13</f>
        <v/>
      </c>
    </row>
    <row r="14">
      <c r="A14" t="inlineStr">
        <is>
          <t xml:space="preserve"> 원재료비_순연</t>
        </is>
      </c>
      <c r="B14" t="n">
        <v>212</v>
      </c>
      <c r="C14" t="n">
        <v>151</v>
      </c>
      <c r="D14" t="n">
        <v>113</v>
      </c>
      <c r="E14" t="n">
        <v>272</v>
      </c>
      <c r="F14" t="n">
        <v>197</v>
      </c>
      <c r="G14" t="n">
        <v>120</v>
      </c>
      <c r="H14" t="n">
        <v>343</v>
      </c>
      <c r="I14" t="n">
        <v>389</v>
      </c>
      <c r="J14" t="n">
        <v>236</v>
      </c>
      <c r="K14" t="n">
        <v>143</v>
      </c>
      <c r="L14" t="n">
        <v>348</v>
      </c>
      <c r="M14" t="n">
        <v>383</v>
      </c>
      <c r="N14">
        <f>SUM(B14:D14)</f>
        <v/>
      </c>
      <c r="O14">
        <f>SUM(E14:G14)</f>
        <v/>
      </c>
      <c r="P14">
        <f>SUM(H14:J14)</f>
        <v/>
      </c>
      <c r="Q14">
        <f>SUM(K14:M14)</f>
        <v/>
      </c>
      <c r="R14">
        <f>SUM(N14:O14)</f>
        <v/>
      </c>
      <c r="S14">
        <f>SUM(P14:Q14)</f>
        <v/>
      </c>
      <c r="T14">
        <f>R14+S14</f>
        <v/>
      </c>
    </row>
    <row r="15">
      <c r="A15" t="inlineStr">
        <is>
          <t xml:space="preserve"> 원재료(LOSS_순연)</t>
        </is>
      </c>
      <c r="B15" t="n">
        <v>286</v>
      </c>
      <c r="C15" t="n">
        <v>207</v>
      </c>
      <c r="D15" t="n">
        <v>166</v>
      </c>
      <c r="E15" t="n">
        <v>358</v>
      </c>
      <c r="F15" t="n">
        <v>283</v>
      </c>
      <c r="G15" t="n">
        <v>140</v>
      </c>
      <c r="H15" t="n">
        <v>363</v>
      </c>
      <c r="I15" t="n">
        <v>415</v>
      </c>
      <c r="J15" t="n">
        <v>287</v>
      </c>
      <c r="K15" t="n">
        <v>159</v>
      </c>
      <c r="L15" t="n">
        <v>373</v>
      </c>
      <c r="M15" t="n">
        <v>392</v>
      </c>
      <c r="N15">
        <f>SUM(B15:D15)</f>
        <v/>
      </c>
      <c r="O15">
        <f>SUM(E15:G15)</f>
        <v/>
      </c>
      <c r="P15">
        <f>SUM(H15:J15)</f>
        <v/>
      </c>
      <c r="Q15">
        <f>SUM(K15:M15)</f>
        <v/>
      </c>
      <c r="R15">
        <f>SUM(N15:O15)</f>
        <v/>
      </c>
      <c r="S15">
        <f>SUM(P15:Q15)</f>
        <v/>
      </c>
      <c r="T15">
        <f>R15+S15</f>
        <v/>
      </c>
    </row>
    <row r="16">
      <c r="A16" t="inlineStr">
        <is>
          <t xml:space="preserve"> 원재료비_경연</t>
        </is>
      </c>
      <c r="B16" t="n">
        <v>47</v>
      </c>
      <c r="C16" t="n">
        <v>28</v>
      </c>
      <c r="D16" t="n">
        <v>23</v>
      </c>
      <c r="E16" t="n">
        <v>61</v>
      </c>
      <c r="F16" t="n">
        <v>44</v>
      </c>
      <c r="G16" t="n">
        <v>27</v>
      </c>
      <c r="H16" t="n">
        <v>70</v>
      </c>
      <c r="I16" t="n">
        <v>69</v>
      </c>
      <c r="J16" t="n">
        <v>49</v>
      </c>
      <c r="K16" t="n">
        <v>26</v>
      </c>
      <c r="L16" t="n">
        <v>74</v>
      </c>
      <c r="M16" t="n">
        <v>77</v>
      </c>
      <c r="N16">
        <f>SUM(B16:D16)</f>
        <v/>
      </c>
      <c r="O16">
        <f>SUM(E16:G16)</f>
        <v/>
      </c>
      <c r="P16">
        <f>SUM(H16:J16)</f>
        <v/>
      </c>
      <c r="Q16">
        <f>SUM(K16:M16)</f>
        <v/>
      </c>
      <c r="R16">
        <f>SUM(N16:O16)</f>
        <v/>
      </c>
      <c r="S16">
        <f>SUM(P16:Q16)</f>
        <v/>
      </c>
      <c r="T16">
        <f>R16+S16</f>
        <v/>
      </c>
    </row>
    <row r="17">
      <c r="A17" t="inlineStr">
        <is>
          <t xml:space="preserve"> 원재료(LOSS_경연)</t>
        </is>
      </c>
      <c r="B17" t="n">
        <v>367</v>
      </c>
      <c r="C17" t="n">
        <v>248</v>
      </c>
      <c r="D17" t="n">
        <v>256</v>
      </c>
      <c r="E17" t="n">
        <v>564</v>
      </c>
      <c r="F17" t="n">
        <v>411</v>
      </c>
      <c r="G17" t="n">
        <v>210</v>
      </c>
      <c r="H17" t="n">
        <v>549</v>
      </c>
      <c r="I17" t="n">
        <v>666</v>
      </c>
      <c r="J17" t="n">
        <v>435</v>
      </c>
      <c r="K17" t="n">
        <v>288</v>
      </c>
      <c r="L17" t="n">
        <v>781</v>
      </c>
      <c r="M17" t="n">
        <v>540</v>
      </c>
      <c r="N17">
        <f>SUM(B17:D17)</f>
        <v/>
      </c>
      <c r="O17">
        <f>SUM(E17:G17)</f>
        <v/>
      </c>
      <c r="P17">
        <f>SUM(H17:J17)</f>
        <v/>
      </c>
      <c r="Q17">
        <f>SUM(K17:M17)</f>
        <v/>
      </c>
      <c r="R17">
        <f>SUM(N17:O17)</f>
        <v/>
      </c>
      <c r="S17">
        <f>SUM(P17:Q17)</f>
        <v/>
      </c>
      <c r="T17">
        <f>R17+S17</f>
        <v/>
      </c>
    </row>
    <row r="18">
      <c r="A18" t="inlineStr">
        <is>
          <t xml:space="preserve"> 원재료비_칼슘연</t>
        </is>
      </c>
      <c r="B18" t="n">
        <v>101</v>
      </c>
      <c r="C18" t="n">
        <v>73</v>
      </c>
      <c r="D18" t="n">
        <v>54</v>
      </c>
      <c r="E18" t="n">
        <v>123</v>
      </c>
      <c r="F18" t="n">
        <v>97</v>
      </c>
      <c r="G18" t="n">
        <v>55</v>
      </c>
      <c r="H18" t="n">
        <v>138</v>
      </c>
      <c r="I18" t="n">
        <v>129</v>
      </c>
      <c r="J18" t="n">
        <v>90</v>
      </c>
      <c r="K18" t="n">
        <v>52</v>
      </c>
      <c r="L18" t="n">
        <v>133</v>
      </c>
      <c r="M18" t="n">
        <v>127</v>
      </c>
      <c r="N18">
        <f>SUM(B18:D18)</f>
        <v/>
      </c>
      <c r="O18">
        <f>SUM(E18:G18)</f>
        <v/>
      </c>
      <c r="P18">
        <f>SUM(H18:J18)</f>
        <v/>
      </c>
      <c r="Q18">
        <f>SUM(K18:M18)</f>
        <v/>
      </c>
      <c r="R18">
        <f>SUM(N18:O18)</f>
        <v/>
      </c>
      <c r="S18">
        <f>SUM(P18:Q18)</f>
        <v/>
      </c>
      <c r="T18">
        <f>R18+S18</f>
        <v/>
      </c>
    </row>
    <row r="19">
      <c r="A19" t="inlineStr">
        <is>
          <t xml:space="preserve"> 원재료(LOSS_칼슘연)</t>
        </is>
      </c>
      <c r="B19" t="n">
        <v>156</v>
      </c>
      <c r="C19" t="n">
        <v>139</v>
      </c>
      <c r="D19" t="n">
        <v>88</v>
      </c>
      <c r="E19" t="n">
        <v>234</v>
      </c>
      <c r="F19" t="n">
        <v>186</v>
      </c>
      <c r="G19" t="n">
        <v>94</v>
      </c>
      <c r="H19" t="n">
        <v>255</v>
      </c>
      <c r="I19" t="n">
        <v>272</v>
      </c>
      <c r="J19" t="n">
        <v>208</v>
      </c>
      <c r="K19" t="n">
        <v>117</v>
      </c>
      <c r="L19" t="n">
        <v>285</v>
      </c>
      <c r="M19" t="n">
        <v>275</v>
      </c>
      <c r="N19">
        <f>SUM(B19:D19)</f>
        <v/>
      </c>
      <c r="O19">
        <f>SUM(E19:G19)</f>
        <v/>
      </c>
      <c r="P19">
        <f>SUM(H19:J19)</f>
        <v/>
      </c>
      <c r="Q19">
        <f>SUM(K19:M19)</f>
        <v/>
      </c>
      <c r="R19">
        <f>SUM(N19:O19)</f>
        <v/>
      </c>
      <c r="S19">
        <f>SUM(P19:Q19)</f>
        <v/>
      </c>
      <c r="T19">
        <f>R19+S19</f>
        <v/>
      </c>
    </row>
    <row r="20">
      <c r="A20" t="inlineStr">
        <is>
          <t xml:space="preserve"> 원재료비_니켈(A)</t>
        </is>
      </c>
      <c r="B20" t="n">
        <v>90</v>
      </c>
      <c r="C20" t="n">
        <v>55</v>
      </c>
      <c r="D20" t="n">
        <v>53</v>
      </c>
      <c r="E20" t="n">
        <v>133</v>
      </c>
      <c r="F20" t="n">
        <v>97</v>
      </c>
      <c r="G20" t="n">
        <v>52</v>
      </c>
      <c r="H20" t="n">
        <v>136</v>
      </c>
      <c r="I20" t="n">
        <v>133</v>
      </c>
      <c r="J20" t="n">
        <v>100</v>
      </c>
      <c r="K20" t="n">
        <v>65</v>
      </c>
      <c r="L20" t="n">
        <v>131</v>
      </c>
      <c r="M20" t="n">
        <v>143</v>
      </c>
      <c r="N20">
        <f>SUM(B20:D20)</f>
        <v/>
      </c>
      <c r="O20">
        <f>SUM(E20:G20)</f>
        <v/>
      </c>
      <c r="P20">
        <f>SUM(H20:J20)</f>
        <v/>
      </c>
      <c r="Q20">
        <f>SUM(K20:M20)</f>
        <v/>
      </c>
      <c r="R20">
        <f>SUM(N20:O20)</f>
        <v/>
      </c>
      <c r="S20">
        <f>SUM(P20:Q20)</f>
        <v/>
      </c>
      <c r="T20">
        <f>R20+S20</f>
        <v/>
      </c>
    </row>
    <row r="21">
      <c r="A21" t="inlineStr">
        <is>
          <t xml:space="preserve"> 원재료비_리튬(A)</t>
        </is>
      </c>
      <c r="B21" t="n">
        <v>381</v>
      </c>
      <c r="C21" t="n">
        <v>345</v>
      </c>
      <c r="D21" t="n">
        <v>225</v>
      </c>
      <c r="E21" t="n">
        <v>571</v>
      </c>
      <c r="F21" t="n">
        <v>382</v>
      </c>
      <c r="G21" t="n">
        <v>278</v>
      </c>
      <c r="H21" t="n">
        <v>715</v>
      </c>
      <c r="I21" t="n">
        <v>741</v>
      </c>
      <c r="J21" t="n">
        <v>447</v>
      </c>
      <c r="K21" t="n">
        <v>235</v>
      </c>
      <c r="L21" t="n">
        <v>736</v>
      </c>
      <c r="M21" t="n">
        <v>678</v>
      </c>
      <c r="N21">
        <f>SUM(B21:D21)</f>
        <v/>
      </c>
      <c r="O21">
        <f>SUM(E21:G21)</f>
        <v/>
      </c>
      <c r="P21">
        <f>SUM(H21:J21)</f>
        <v/>
      </c>
      <c r="Q21">
        <f>SUM(K21:M21)</f>
        <v/>
      </c>
      <c r="R21">
        <f>SUM(N21:O21)</f>
        <v/>
      </c>
      <c r="S21">
        <f>SUM(P21:Q21)</f>
        <v/>
      </c>
      <c r="T21">
        <f>R21+S21</f>
        <v/>
      </c>
    </row>
    <row r="22">
      <c r="A22" t="inlineStr">
        <is>
          <t xml:space="preserve"> 주재료비_전조(A)</t>
        </is>
      </c>
      <c r="B22" t="n">
        <v>379</v>
      </c>
      <c r="C22" t="n">
        <v>287</v>
      </c>
      <c r="D22" t="n">
        <v>235</v>
      </c>
      <c r="E22" t="n">
        <v>437</v>
      </c>
      <c r="F22" t="n">
        <v>414</v>
      </c>
      <c r="G22" t="n">
        <v>237</v>
      </c>
      <c r="H22" t="n">
        <v>473</v>
      </c>
      <c r="I22" t="n">
        <v>558</v>
      </c>
      <c r="J22" t="n">
        <v>369</v>
      </c>
      <c r="K22" t="n">
        <v>260</v>
      </c>
      <c r="L22" t="n">
        <v>664</v>
      </c>
      <c r="M22" t="n">
        <v>499</v>
      </c>
      <c r="N22">
        <f>SUM(B22:D22)</f>
        <v/>
      </c>
      <c r="O22">
        <f>SUM(E22:G22)</f>
        <v/>
      </c>
      <c r="P22">
        <f>SUM(H22:J22)</f>
        <v/>
      </c>
      <c r="Q22">
        <f>SUM(K22:M22)</f>
        <v/>
      </c>
      <c r="R22">
        <f>SUM(N22:O22)</f>
        <v/>
      </c>
      <c r="S22">
        <f>SUM(P22:Q22)</f>
        <v/>
      </c>
      <c r="T22">
        <f>R22+S22</f>
        <v/>
      </c>
    </row>
    <row r="23">
      <c r="A23" t="inlineStr">
        <is>
          <t xml:space="preserve"> 주재료비_카바(A)</t>
        </is>
      </c>
      <c r="B23" t="n">
        <v>96</v>
      </c>
      <c r="C23" t="n">
        <v>85</v>
      </c>
      <c r="D23" t="n">
        <v>56</v>
      </c>
      <c r="E23" t="n">
        <v>134</v>
      </c>
      <c r="F23" t="n">
        <v>112</v>
      </c>
      <c r="G23" t="n">
        <v>61</v>
      </c>
      <c r="H23" t="n">
        <v>178</v>
      </c>
      <c r="I23" t="n">
        <v>187</v>
      </c>
      <c r="J23" t="n">
        <v>140</v>
      </c>
      <c r="K23" t="n">
        <v>76</v>
      </c>
      <c r="L23" t="n">
        <v>181</v>
      </c>
      <c r="M23" t="n">
        <v>162</v>
      </c>
      <c r="N23">
        <f>SUM(B23:D23)</f>
        <v/>
      </c>
      <c r="O23">
        <f>SUM(E23:G23)</f>
        <v/>
      </c>
      <c r="P23">
        <f>SUM(H23:J23)</f>
        <v/>
      </c>
      <c r="Q23">
        <f>SUM(K23:M23)</f>
        <v/>
      </c>
      <c r="R23">
        <f>SUM(N23:O23)</f>
        <v/>
      </c>
      <c r="S23">
        <f>SUM(P23:Q23)</f>
        <v/>
      </c>
      <c r="T23">
        <f>R23+S23</f>
        <v/>
      </c>
    </row>
    <row r="24">
      <c r="A24" t="inlineStr">
        <is>
          <t xml:space="preserve"> 주재료비_격리판(A</t>
        </is>
      </c>
      <c r="B24" t="n">
        <v>390</v>
      </c>
      <c r="C24" t="n">
        <v>234</v>
      </c>
      <c r="D24" t="n">
        <v>191</v>
      </c>
      <c r="E24" t="n">
        <v>571</v>
      </c>
      <c r="F24" t="n">
        <v>363</v>
      </c>
      <c r="G24" t="n">
        <v>255</v>
      </c>
      <c r="H24" t="n">
        <v>632</v>
      </c>
      <c r="I24" t="n">
        <v>580</v>
      </c>
      <c r="J24" t="n">
        <v>453</v>
      </c>
      <c r="K24" t="n">
        <v>254</v>
      </c>
      <c r="L24" t="n">
        <v>584</v>
      </c>
      <c r="M24" t="n">
        <v>507</v>
      </c>
      <c r="N24">
        <f>SUM(B24:D24)</f>
        <v/>
      </c>
      <c r="O24">
        <f>SUM(E24:G24)</f>
        <v/>
      </c>
      <c r="P24">
        <f>SUM(H24:J24)</f>
        <v/>
      </c>
      <c r="Q24">
        <f>SUM(K24:M24)</f>
        <v/>
      </c>
      <c r="R24">
        <f>SUM(N24:O24)</f>
        <v/>
      </c>
      <c r="S24">
        <f>SUM(P24:Q24)</f>
        <v/>
      </c>
      <c r="T24">
        <f>R24+S24</f>
        <v/>
      </c>
    </row>
    <row r="25">
      <c r="A25" t="inlineStr">
        <is>
          <t xml:space="preserve"> 부재료비(A)</t>
        </is>
      </c>
      <c r="B25" t="n">
        <v>327</v>
      </c>
      <c r="C25" t="n">
        <v>273</v>
      </c>
      <c r="D25" t="n">
        <v>191</v>
      </c>
      <c r="E25" t="n">
        <v>549</v>
      </c>
      <c r="F25" t="n">
        <v>400</v>
      </c>
      <c r="G25" t="n">
        <v>188</v>
      </c>
      <c r="H25" t="n">
        <v>496</v>
      </c>
      <c r="I25" t="n">
        <v>599</v>
      </c>
      <c r="J25" t="n">
        <v>364</v>
      </c>
      <c r="K25" t="n">
        <v>208</v>
      </c>
      <c r="L25" t="n">
        <v>536</v>
      </c>
      <c r="M25" t="n">
        <v>624</v>
      </c>
      <c r="N25">
        <f>SUM(B25:D25)</f>
        <v/>
      </c>
      <c r="O25">
        <f>SUM(E25:G25)</f>
        <v/>
      </c>
      <c r="P25">
        <f>SUM(H25:J25)</f>
        <v/>
      </c>
      <c r="Q25">
        <f>SUM(K25:M25)</f>
        <v/>
      </c>
      <c r="R25">
        <f>SUM(N25:O25)</f>
        <v/>
      </c>
      <c r="S25">
        <f>SUM(P25:Q25)</f>
        <v/>
      </c>
      <c r="T25">
        <f>R25+S25</f>
        <v/>
      </c>
    </row>
    <row r="26">
      <c r="A26" t="inlineStr">
        <is>
          <t xml:space="preserve"> 포장비(A)</t>
        </is>
      </c>
      <c r="B26" t="n">
        <v>325</v>
      </c>
      <c r="C26" t="n">
        <v>195</v>
      </c>
      <c r="D26" t="n">
        <v>196</v>
      </c>
      <c r="E26" t="n">
        <v>395</v>
      </c>
      <c r="F26" t="n">
        <v>322</v>
      </c>
      <c r="G26" t="n">
        <v>198</v>
      </c>
      <c r="H26" t="n">
        <v>487</v>
      </c>
      <c r="I26" t="n">
        <v>497</v>
      </c>
      <c r="J26" t="n">
        <v>332</v>
      </c>
      <c r="K26" t="n">
        <v>179</v>
      </c>
      <c r="L26" t="n">
        <v>460</v>
      </c>
      <c r="M26" t="n">
        <v>395</v>
      </c>
      <c r="N26">
        <f>SUM(B26:D26)</f>
        <v/>
      </c>
      <c r="O26">
        <f>SUM(E26:G26)</f>
        <v/>
      </c>
      <c r="P26">
        <f>SUM(H26:J26)</f>
        <v/>
      </c>
      <c r="Q26">
        <f>SUM(K26:M26)</f>
        <v/>
      </c>
      <c r="R26">
        <f>SUM(N26:O26)</f>
        <v/>
      </c>
      <c r="S26">
        <f>SUM(P26:Q26)</f>
        <v/>
      </c>
      <c r="T26">
        <f>R26+S26</f>
        <v/>
      </c>
    </row>
    <row r="27">
      <c r="A27" t="inlineStr">
        <is>
          <t xml:space="preserve"> 부대품재료비(A)</t>
        </is>
      </c>
      <c r="B27" t="n">
        <v>339</v>
      </c>
      <c r="C27" t="n">
        <v>239</v>
      </c>
      <c r="D27" t="n">
        <v>185</v>
      </c>
      <c r="E27" t="n">
        <v>340</v>
      </c>
      <c r="F27" t="n">
        <v>329</v>
      </c>
      <c r="G27" t="n">
        <v>184</v>
      </c>
      <c r="H27" t="n">
        <v>447</v>
      </c>
      <c r="I27" t="n">
        <v>413</v>
      </c>
      <c r="J27" t="n">
        <v>372</v>
      </c>
      <c r="K27" t="n">
        <v>201</v>
      </c>
      <c r="L27" t="n">
        <v>471</v>
      </c>
      <c r="M27" t="n">
        <v>434</v>
      </c>
      <c r="N27">
        <f>SUM(B27:D27)</f>
        <v/>
      </c>
      <c r="O27">
        <f>SUM(E27:G27)</f>
        <v/>
      </c>
      <c r="P27">
        <f>SUM(H27:J27)</f>
        <v/>
      </c>
      <c r="Q27">
        <f>SUM(K27:M27)</f>
        <v/>
      </c>
      <c r="R27">
        <f>SUM(N27:O27)</f>
        <v/>
      </c>
      <c r="S27">
        <f>SUM(P27:Q27)</f>
        <v/>
      </c>
      <c r="T27">
        <f>R27+S27</f>
        <v/>
      </c>
    </row>
    <row r="28">
      <c r="A28" t="inlineStr">
        <is>
          <t xml:space="preserve"> 부산물공제(A)</t>
        </is>
      </c>
      <c r="B28" t="n">
        <v>149</v>
      </c>
      <c r="C28" t="n">
        <v>109</v>
      </c>
      <c r="D28" t="n">
        <v>104</v>
      </c>
      <c r="E28" t="n">
        <v>180</v>
      </c>
      <c r="F28" t="n">
        <v>176</v>
      </c>
      <c r="G28" t="n">
        <v>106</v>
      </c>
      <c r="H28" t="n">
        <v>260</v>
      </c>
      <c r="I28" t="n">
        <v>256</v>
      </c>
      <c r="J28" t="n">
        <v>182</v>
      </c>
      <c r="K28" t="n">
        <v>97</v>
      </c>
      <c r="L28" t="n">
        <v>288</v>
      </c>
      <c r="M28" t="n">
        <v>265</v>
      </c>
      <c r="N28">
        <f>SUM(B28:D28)</f>
        <v/>
      </c>
      <c r="O28">
        <f>SUM(E28:G28)</f>
        <v/>
      </c>
      <c r="P28">
        <f>SUM(H28:J28)</f>
        <v/>
      </c>
      <c r="Q28">
        <f>SUM(K28:M28)</f>
        <v/>
      </c>
      <c r="R28">
        <f>SUM(N28:O28)</f>
        <v/>
      </c>
      <c r="S28">
        <f>SUM(P28:Q28)</f>
        <v/>
      </c>
      <c r="T28">
        <f>R28+S28</f>
        <v/>
      </c>
    </row>
    <row r="29">
      <c r="A29" t="inlineStr">
        <is>
          <t xml:space="preserve"> 변동직접노무비(A)</t>
        </is>
      </c>
      <c r="B29" t="n">
        <v>160</v>
      </c>
      <c r="C29" t="n">
        <v>134</v>
      </c>
      <c r="D29" t="n">
        <v>94</v>
      </c>
      <c r="E29" t="n">
        <v>240</v>
      </c>
      <c r="F29" t="n">
        <v>165</v>
      </c>
      <c r="G29" t="n">
        <v>112</v>
      </c>
      <c r="H29" t="n">
        <v>299</v>
      </c>
      <c r="I29" t="n">
        <v>318</v>
      </c>
      <c r="J29" t="n">
        <v>218</v>
      </c>
      <c r="K29" t="n">
        <v>113</v>
      </c>
      <c r="L29" t="n">
        <v>307</v>
      </c>
      <c r="M29" t="n">
        <v>287</v>
      </c>
      <c r="N29">
        <f>SUM(B29:D29)</f>
        <v/>
      </c>
      <c r="O29">
        <f>SUM(E29:G29)</f>
        <v/>
      </c>
      <c r="P29">
        <f>SUM(H29:J29)</f>
        <v/>
      </c>
      <c r="Q29">
        <f>SUM(K29:M29)</f>
        <v/>
      </c>
      <c r="R29">
        <f>SUM(N29:O29)</f>
        <v/>
      </c>
      <c r="S29">
        <f>SUM(P29:Q29)</f>
        <v/>
      </c>
      <c r="T29">
        <f>R29+S29</f>
        <v/>
      </c>
    </row>
    <row r="30">
      <c r="A30" t="inlineStr">
        <is>
          <t xml:space="preserve"> 변동경비(A)</t>
        </is>
      </c>
      <c r="B30" t="n">
        <v>200</v>
      </c>
      <c r="C30" t="n">
        <v>163</v>
      </c>
      <c r="D30" t="n">
        <v>106</v>
      </c>
      <c r="E30" t="n">
        <v>264</v>
      </c>
      <c r="F30" t="n">
        <v>191</v>
      </c>
      <c r="G30" t="n">
        <v>133</v>
      </c>
      <c r="H30" t="n">
        <v>352</v>
      </c>
      <c r="I30" t="n">
        <v>377</v>
      </c>
      <c r="J30" t="n">
        <v>250</v>
      </c>
      <c r="K30" t="n">
        <v>156</v>
      </c>
      <c r="L30" t="n">
        <v>359</v>
      </c>
      <c r="M30" t="n">
        <v>333</v>
      </c>
      <c r="N30">
        <f>SUM(B30:D30)</f>
        <v/>
      </c>
      <c r="O30">
        <f>SUM(E30:G30)</f>
        <v/>
      </c>
      <c r="P30">
        <f>SUM(H30:J30)</f>
        <v/>
      </c>
      <c r="Q30">
        <f>SUM(K30:M30)</f>
        <v/>
      </c>
      <c r="R30">
        <f>SUM(N30:O30)</f>
        <v/>
      </c>
      <c r="S30">
        <f>SUM(P30:Q30)</f>
        <v/>
      </c>
      <c r="T30">
        <f>R30+S30</f>
        <v/>
      </c>
    </row>
    <row r="31">
      <c r="A31" t="inlineStr">
        <is>
          <t xml:space="preserve"> 고정직접노무비(A)</t>
        </is>
      </c>
      <c r="B31" t="n">
        <v>334</v>
      </c>
      <c r="C31" t="n">
        <v>290</v>
      </c>
      <c r="D31" t="n">
        <v>242</v>
      </c>
      <c r="E31" t="n">
        <v>445</v>
      </c>
      <c r="F31" t="n">
        <v>342</v>
      </c>
      <c r="G31" t="n">
        <v>249</v>
      </c>
      <c r="H31" t="n">
        <v>605</v>
      </c>
      <c r="I31" t="n">
        <v>576</v>
      </c>
      <c r="J31" t="n">
        <v>488</v>
      </c>
      <c r="K31" t="n">
        <v>245</v>
      </c>
      <c r="L31" t="n">
        <v>550</v>
      </c>
      <c r="M31" t="n">
        <v>538</v>
      </c>
      <c r="N31">
        <f>SUM(B31:D31)</f>
        <v/>
      </c>
      <c r="O31">
        <f>SUM(E31:G31)</f>
        <v/>
      </c>
      <c r="P31">
        <f>SUM(H31:J31)</f>
        <v/>
      </c>
      <c r="Q31">
        <f>SUM(K31:M31)</f>
        <v/>
      </c>
      <c r="R31">
        <f>SUM(N31:O31)</f>
        <v/>
      </c>
      <c r="S31">
        <f>SUM(P31:Q31)</f>
        <v/>
      </c>
      <c r="T31">
        <f>R31+S31</f>
        <v/>
      </c>
    </row>
    <row r="32">
      <c r="A32" t="inlineStr">
        <is>
          <t xml:space="preserve"> 간접노무비(A)</t>
        </is>
      </c>
      <c r="B32" t="n">
        <v>302</v>
      </c>
      <c r="C32" t="n">
        <v>276</v>
      </c>
      <c r="D32" t="n">
        <v>221</v>
      </c>
      <c r="E32" t="n">
        <v>479</v>
      </c>
      <c r="F32" t="n">
        <v>343</v>
      </c>
      <c r="G32" t="n">
        <v>212</v>
      </c>
      <c r="H32" t="n">
        <v>497</v>
      </c>
      <c r="I32" t="n">
        <v>502</v>
      </c>
      <c r="J32" t="n">
        <v>384</v>
      </c>
      <c r="K32" t="n">
        <v>225</v>
      </c>
      <c r="L32" t="n">
        <v>520</v>
      </c>
      <c r="M32" t="n">
        <v>600</v>
      </c>
      <c r="N32">
        <f>SUM(B32:D32)</f>
        <v/>
      </c>
      <c r="O32">
        <f>SUM(E32:G32)</f>
        <v/>
      </c>
      <c r="P32">
        <f>SUM(H32:J32)</f>
        <v/>
      </c>
      <c r="Q32">
        <f>SUM(K32:M32)</f>
        <v/>
      </c>
      <c r="R32">
        <f>SUM(N32:O32)</f>
        <v/>
      </c>
      <c r="S32">
        <f>SUM(P32:Q32)</f>
        <v/>
      </c>
      <c r="T32">
        <f>R32+S32</f>
        <v/>
      </c>
    </row>
    <row r="33">
      <c r="A33" t="inlineStr">
        <is>
          <t xml:space="preserve"> 고정경비(A)</t>
        </is>
      </c>
      <c r="B33" t="n">
        <v>303</v>
      </c>
      <c r="C33" t="n">
        <v>235</v>
      </c>
      <c r="D33" t="n">
        <v>149</v>
      </c>
      <c r="E33" t="n">
        <v>389</v>
      </c>
      <c r="F33" t="n">
        <v>315</v>
      </c>
      <c r="G33" t="n">
        <v>178</v>
      </c>
      <c r="H33" t="n">
        <v>377</v>
      </c>
      <c r="I33" t="n">
        <v>463</v>
      </c>
      <c r="J33" t="n">
        <v>335</v>
      </c>
      <c r="K33" t="n">
        <v>209</v>
      </c>
      <c r="L33" t="n">
        <v>482</v>
      </c>
      <c r="M33" t="n">
        <v>452</v>
      </c>
      <c r="N33">
        <f>SUM(B33:D33)</f>
        <v/>
      </c>
      <c r="O33">
        <f>SUM(E33:G33)</f>
        <v/>
      </c>
      <c r="P33">
        <f>SUM(H33:J33)</f>
        <v/>
      </c>
      <c r="Q33">
        <f>SUM(K33:M33)</f>
        <v/>
      </c>
      <c r="R33">
        <f>SUM(N33:O33)</f>
        <v/>
      </c>
      <c r="S33">
        <f>SUM(P33:Q33)</f>
        <v/>
      </c>
      <c r="T33">
        <f>R33+S33</f>
        <v/>
      </c>
    </row>
    <row r="34">
      <c r="A34" t="inlineStr">
        <is>
          <t xml:space="preserve"> 외주가공비(A)</t>
        </is>
      </c>
      <c r="B34" t="n">
        <v>145</v>
      </c>
      <c r="C34" t="n">
        <v>108</v>
      </c>
      <c r="D34" t="n">
        <v>93</v>
      </c>
      <c r="E34" t="n">
        <v>185</v>
      </c>
      <c r="F34" t="n">
        <v>144</v>
      </c>
      <c r="G34" t="n">
        <v>86</v>
      </c>
      <c r="H34" t="n">
        <v>241</v>
      </c>
      <c r="I34" t="n">
        <v>252</v>
      </c>
      <c r="J34" t="n">
        <v>176</v>
      </c>
      <c r="K34" t="n">
        <v>92</v>
      </c>
      <c r="L34" t="n">
        <v>277</v>
      </c>
      <c r="M34" t="n">
        <v>257</v>
      </c>
      <c r="N34">
        <f>SUM(B34:D34)</f>
        <v/>
      </c>
      <c r="O34">
        <f>SUM(E34:G34)</f>
        <v/>
      </c>
      <c r="P34">
        <f>SUM(H34:J34)</f>
        <v/>
      </c>
      <c r="Q34">
        <f>SUM(K34:M34)</f>
        <v/>
      </c>
      <c r="R34">
        <f>SUM(N34:O34)</f>
        <v/>
      </c>
      <c r="S34">
        <f>SUM(P34:Q34)</f>
        <v/>
      </c>
      <c r="T34">
        <f>R34+S34</f>
        <v/>
      </c>
    </row>
    <row r="35">
      <c r="A35" t="inlineStr">
        <is>
          <t xml:space="preserve"> 원가절감(구매)</t>
        </is>
      </c>
      <c r="B35" t="n">
        <v>134</v>
      </c>
      <c r="C35" t="n">
        <v>99</v>
      </c>
      <c r="D35" t="n">
        <v>85</v>
      </c>
      <c r="E35" t="n">
        <v>180</v>
      </c>
      <c r="F35" t="n">
        <v>137</v>
      </c>
      <c r="G35" t="n">
        <v>73</v>
      </c>
      <c r="H35" t="n">
        <v>180</v>
      </c>
      <c r="I35" t="n">
        <v>229</v>
      </c>
      <c r="J35" t="n">
        <v>137</v>
      </c>
      <c r="K35" t="n">
        <v>95</v>
      </c>
      <c r="L35" t="n">
        <v>250</v>
      </c>
      <c r="M35" t="n">
        <v>178</v>
      </c>
      <c r="N35">
        <f>SUM(B35:D35)</f>
        <v/>
      </c>
      <c r="O35">
        <f>SUM(E35:G35)</f>
        <v/>
      </c>
      <c r="P35">
        <f>SUM(H35:J35)</f>
        <v/>
      </c>
      <c r="Q35">
        <f>SUM(K35:M35)</f>
        <v/>
      </c>
      <c r="R35">
        <f>SUM(N35:O35)</f>
        <v/>
      </c>
      <c r="S35">
        <f>SUM(P35:Q35)</f>
        <v/>
      </c>
      <c r="T35">
        <f>R35+S35</f>
        <v/>
      </c>
    </row>
    <row r="36">
      <c r="A36" t="inlineStr">
        <is>
          <t xml:space="preserve"> 원가절감(광주)</t>
        </is>
      </c>
      <c r="B36" t="n">
        <v>195</v>
      </c>
      <c r="C36" t="n">
        <v>121</v>
      </c>
      <c r="D36" t="n">
        <v>96</v>
      </c>
      <c r="E36" t="n">
        <v>216</v>
      </c>
      <c r="F36" t="n">
        <v>179</v>
      </c>
      <c r="G36" t="n">
        <v>103</v>
      </c>
      <c r="H36" t="n">
        <v>261</v>
      </c>
      <c r="I36" t="n">
        <v>255</v>
      </c>
      <c r="J36" t="n">
        <v>239</v>
      </c>
      <c r="K36" t="n">
        <v>112</v>
      </c>
      <c r="L36" t="n">
        <v>349</v>
      </c>
      <c r="M36" t="n">
        <v>281</v>
      </c>
      <c r="N36">
        <f>SUM(B36:D36)</f>
        <v/>
      </c>
      <c r="O36">
        <f>SUM(E36:G36)</f>
        <v/>
      </c>
      <c r="P36">
        <f>SUM(H36:J36)</f>
        <v/>
      </c>
      <c r="Q36">
        <f>SUM(K36:M36)</f>
        <v/>
      </c>
      <c r="R36">
        <f>SUM(N36:O36)</f>
        <v/>
      </c>
      <c r="S36">
        <f>SUM(P36:Q36)</f>
        <v/>
      </c>
      <c r="T36">
        <f>R36+S36</f>
        <v/>
      </c>
    </row>
    <row r="37">
      <c r="A37" t="inlineStr">
        <is>
          <t xml:space="preserve"> 원가절감(창원)</t>
        </is>
      </c>
      <c r="B37" t="n">
        <v>152</v>
      </c>
      <c r="C37" t="n">
        <v>140</v>
      </c>
      <c r="D37" t="n">
        <v>100</v>
      </c>
      <c r="E37" t="n">
        <v>211</v>
      </c>
      <c r="F37" t="n">
        <v>208</v>
      </c>
      <c r="G37" t="n">
        <v>99</v>
      </c>
      <c r="H37" t="n">
        <v>229</v>
      </c>
      <c r="I37" t="n">
        <v>255</v>
      </c>
      <c r="J37" t="n">
        <v>217</v>
      </c>
      <c r="K37" t="n">
        <v>98</v>
      </c>
      <c r="L37" t="n">
        <v>275</v>
      </c>
      <c r="M37" t="n">
        <v>300</v>
      </c>
      <c r="N37">
        <f>SUM(B37:D37)</f>
        <v/>
      </c>
      <c r="O37">
        <f>SUM(E37:G37)</f>
        <v/>
      </c>
      <c r="P37">
        <f>SUM(H37:J37)</f>
        <v/>
      </c>
      <c r="Q37">
        <f>SUM(K37:M37)</f>
        <v/>
      </c>
      <c r="R37">
        <f>SUM(N37:O37)</f>
        <v/>
      </c>
      <c r="S37">
        <f>SUM(P37:Q37)</f>
        <v/>
      </c>
      <c r="T37">
        <f>R37+S37</f>
        <v/>
      </c>
    </row>
    <row r="38">
      <c r="A38" t="inlineStr">
        <is>
          <t xml:space="preserve"> 원가절감(품질)</t>
        </is>
      </c>
      <c r="B38" t="n">
        <v>247</v>
      </c>
      <c r="C38" t="n">
        <v>170</v>
      </c>
      <c r="D38" t="n">
        <v>140</v>
      </c>
      <c r="E38" t="n">
        <v>333</v>
      </c>
      <c r="F38" t="n">
        <v>250</v>
      </c>
      <c r="G38" t="n">
        <v>144</v>
      </c>
      <c r="H38" t="n">
        <v>390</v>
      </c>
      <c r="I38" t="n">
        <v>376</v>
      </c>
      <c r="J38" t="n">
        <v>272</v>
      </c>
      <c r="K38" t="n">
        <v>138</v>
      </c>
      <c r="L38" t="n">
        <v>353</v>
      </c>
      <c r="M38" t="n">
        <v>315</v>
      </c>
      <c r="N38">
        <f>SUM(B38:D38)</f>
        <v/>
      </c>
      <c r="O38">
        <f>SUM(E38:G38)</f>
        <v/>
      </c>
      <c r="P38">
        <f>SUM(H38:J38)</f>
        <v/>
      </c>
      <c r="Q38">
        <f>SUM(K38:M38)</f>
        <v/>
      </c>
      <c r="R38">
        <f>SUM(N38:O38)</f>
        <v/>
      </c>
      <c r="S38">
        <f>SUM(P38:Q38)</f>
        <v/>
      </c>
      <c r="T38">
        <f>R38+S38</f>
        <v/>
      </c>
    </row>
    <row r="39">
      <c r="A39" t="inlineStr">
        <is>
          <t xml:space="preserve"> 원가절감(국내)</t>
        </is>
      </c>
      <c r="B39" t="n">
        <v>99</v>
      </c>
      <c r="C39" t="n">
        <v>67</v>
      </c>
      <c r="D39" t="n">
        <v>62</v>
      </c>
      <c r="E39" t="n">
        <v>147</v>
      </c>
      <c r="F39" t="n">
        <v>95</v>
      </c>
      <c r="G39" t="n">
        <v>58</v>
      </c>
      <c r="H39" t="n">
        <v>162</v>
      </c>
      <c r="I39" t="n">
        <v>141</v>
      </c>
      <c r="J39" t="n">
        <v>128</v>
      </c>
      <c r="K39" t="n">
        <v>65</v>
      </c>
      <c r="L39" t="n">
        <v>145</v>
      </c>
      <c r="M39" t="n">
        <v>171</v>
      </c>
      <c r="N39">
        <f>SUM(B39:D39)</f>
        <v/>
      </c>
      <c r="O39">
        <f>SUM(E39:G39)</f>
        <v/>
      </c>
      <c r="P39">
        <f>SUM(H39:J39)</f>
        <v/>
      </c>
      <c r="Q39">
        <f>SUM(K39:M39)</f>
        <v/>
      </c>
      <c r="R39">
        <f>SUM(N39:O39)</f>
        <v/>
      </c>
      <c r="S39">
        <f>SUM(P39:Q39)</f>
        <v/>
      </c>
      <c r="T39">
        <f>R39+S39</f>
        <v/>
      </c>
    </row>
    <row r="40">
      <c r="A40" t="inlineStr">
        <is>
          <t xml:space="preserve"> 원가절감(해외)</t>
        </is>
      </c>
      <c r="B40" t="n">
        <v>30</v>
      </c>
      <c r="C40" t="n">
        <v>23</v>
      </c>
      <c r="D40" t="n">
        <v>19</v>
      </c>
      <c r="E40" t="n">
        <v>44</v>
      </c>
      <c r="F40" t="n">
        <v>29</v>
      </c>
      <c r="G40" t="n">
        <v>15</v>
      </c>
      <c r="H40" t="n">
        <v>50</v>
      </c>
      <c r="I40" t="n">
        <v>53</v>
      </c>
      <c r="J40" t="n">
        <v>31</v>
      </c>
      <c r="K40" t="n">
        <v>18</v>
      </c>
      <c r="L40" t="n">
        <v>47</v>
      </c>
      <c r="M40" t="n">
        <v>49</v>
      </c>
      <c r="N40">
        <f>SUM(B40:D40)</f>
        <v/>
      </c>
      <c r="O40">
        <f>SUM(E40:G40)</f>
        <v/>
      </c>
      <c r="P40">
        <f>SUM(H40:J40)</f>
        <v/>
      </c>
      <c r="Q40">
        <f>SUM(K40:M40)</f>
        <v/>
      </c>
      <c r="R40">
        <f>SUM(N40:O40)</f>
        <v/>
      </c>
      <c r="S40">
        <f>SUM(P40:Q40)</f>
        <v/>
      </c>
      <c r="T40">
        <f>R40+S40</f>
        <v/>
      </c>
    </row>
    <row r="41">
      <c r="A41" t="inlineStr">
        <is>
          <t xml:space="preserve"> 매출총이익(A)</t>
        </is>
      </c>
      <c r="B41">
        <f>B5-B6</f>
        <v/>
      </c>
      <c r="C41">
        <f>C5-C6</f>
        <v/>
      </c>
      <c r="D41">
        <f>D5-D6</f>
        <v/>
      </c>
      <c r="E41">
        <f>E5-E6</f>
        <v/>
      </c>
      <c r="F41">
        <f>F5-F6</f>
        <v/>
      </c>
      <c r="G41">
        <f>G5-G6</f>
        <v/>
      </c>
      <c r="H41">
        <f>H5-H6</f>
        <v/>
      </c>
      <c r="I41">
        <f>I5-I6</f>
        <v/>
      </c>
      <c r="J41">
        <f>J5-J6</f>
        <v/>
      </c>
      <c r="K41">
        <f>K5-K6</f>
        <v/>
      </c>
      <c r="L41">
        <f>L5-L6</f>
        <v/>
      </c>
      <c r="M41">
        <f>M5-M6</f>
        <v/>
      </c>
      <c r="N41">
        <f>N5-N6</f>
        <v/>
      </c>
      <c r="O41">
        <f>O5-O6</f>
        <v/>
      </c>
      <c r="P41">
        <f>P5-P6</f>
        <v/>
      </c>
      <c r="Q41">
        <f>Q5-Q6</f>
        <v/>
      </c>
      <c r="R41">
        <f>R5-R6</f>
        <v/>
      </c>
      <c r="S41">
        <f>S5-S6</f>
        <v/>
      </c>
      <c r="T41">
        <f>T5-T6</f>
        <v/>
      </c>
    </row>
    <row r="42">
      <c r="A42" t="inlineStr">
        <is>
          <t xml:space="preserve"> 판관비(Total)</t>
        </is>
      </c>
      <c r="B42">
        <f>SUM(B44:B80)</f>
        <v/>
      </c>
      <c r="C42">
        <f>SUM(C44:C80)</f>
        <v/>
      </c>
      <c r="D42">
        <f>SUM(D44:D80)</f>
        <v/>
      </c>
      <c r="E42">
        <f>SUM(E44:E80)</f>
        <v/>
      </c>
      <c r="F42">
        <f>SUM(F44:F80)</f>
        <v/>
      </c>
      <c r="G42">
        <f>SUM(G44:G80)</f>
        <v/>
      </c>
      <c r="H42">
        <f>SUM(H44:H80)</f>
        <v/>
      </c>
      <c r="I42">
        <f>SUM(I44:I80)</f>
        <v/>
      </c>
      <c r="J42">
        <f>SUM(J44:J80)</f>
        <v/>
      </c>
      <c r="K42">
        <f>SUM(K44:K80)</f>
        <v/>
      </c>
      <c r="L42">
        <f>SUM(L44:L80)</f>
        <v/>
      </c>
      <c r="M42">
        <f>SUM(M44:M80)</f>
        <v/>
      </c>
      <c r="N42">
        <f>SUM(B42:D42)</f>
        <v/>
      </c>
      <c r="O42">
        <f>SUM(E42:G42)</f>
        <v/>
      </c>
      <c r="P42">
        <f>SUM(H42:J42)</f>
        <v/>
      </c>
      <c r="Q42">
        <f>SUM(K42:M42)</f>
        <v/>
      </c>
      <c r="R42">
        <f>SUM(N42:O42)</f>
        <v/>
      </c>
      <c r="S42">
        <f>SUM(P42:Q42)</f>
        <v/>
      </c>
      <c r="T42">
        <f>R42+S42</f>
        <v/>
      </c>
    </row>
    <row r="43">
      <c r="B43">
        <f>IFERROR(B42/B5,0)</f>
        <v/>
      </c>
      <c r="C43">
        <f>IFERROR(C42/C5,0)</f>
        <v/>
      </c>
      <c r="D43">
        <f>IFERROR(D42/D5,0)</f>
        <v/>
      </c>
      <c r="E43">
        <f>IFERROR(E42/E5,0)</f>
        <v/>
      </c>
      <c r="F43">
        <f>IFERROR(F42/F5,0)</f>
        <v/>
      </c>
      <c r="G43">
        <f>IFERROR(G42/G5,0)</f>
        <v/>
      </c>
      <c r="H43">
        <f>IFERROR(H42/H5,0)</f>
        <v/>
      </c>
      <c r="I43">
        <f>IFERROR(I42/I5,0)</f>
        <v/>
      </c>
      <c r="J43">
        <f>IFERROR(J42/J5,0)</f>
        <v/>
      </c>
      <c r="K43">
        <f>IFERROR(K42/K5,0)</f>
        <v/>
      </c>
      <c r="L43">
        <f>IFERROR(L42/L5,0)</f>
        <v/>
      </c>
      <c r="M43">
        <f>IFERROR(M42/M5,0)</f>
        <v/>
      </c>
      <c r="N43">
        <f>IFERROR(N42/N5,0)</f>
        <v/>
      </c>
      <c r="O43">
        <f>IFERROR(O42/O5,0)</f>
        <v/>
      </c>
      <c r="P43">
        <f>IFERROR(P42/P5,0)</f>
        <v/>
      </c>
      <c r="Q43">
        <f>IFERROR(Q42/Q5,0)</f>
        <v/>
      </c>
      <c r="R43">
        <f>IFERROR(R42/R5,0)</f>
        <v/>
      </c>
      <c r="S43">
        <f>IFERROR(S42/S5,0)</f>
        <v/>
      </c>
      <c r="T43">
        <f>IFERROR(T42/T5,0)</f>
        <v/>
      </c>
    </row>
    <row r="44">
      <c r="A44" t="inlineStr">
        <is>
          <t xml:space="preserve"> 임원급여</t>
        </is>
      </c>
      <c r="B44" t="n">
        <v>10</v>
      </c>
      <c r="C44" t="n">
        <v>9</v>
      </c>
      <c r="D44" t="n">
        <v>6</v>
      </c>
      <c r="E44" t="n">
        <v>16</v>
      </c>
      <c r="F44" t="n">
        <v>13</v>
      </c>
      <c r="G44" t="n">
        <v>8</v>
      </c>
      <c r="H44" t="n">
        <v>16</v>
      </c>
      <c r="I44" t="n">
        <v>19</v>
      </c>
      <c r="J44" t="n">
        <v>15</v>
      </c>
      <c r="K44" t="n">
        <v>8</v>
      </c>
      <c r="L44" t="n">
        <v>19</v>
      </c>
      <c r="M44" t="n">
        <v>20</v>
      </c>
      <c r="N44">
        <f>SUM(B44:D44)</f>
        <v/>
      </c>
      <c r="O44">
        <f>SUM(E44:G44)</f>
        <v/>
      </c>
      <c r="P44">
        <f>SUM(H44:J44)</f>
        <v/>
      </c>
      <c r="Q44">
        <f>SUM(K44:M44)</f>
        <v/>
      </c>
      <c r="R44">
        <f>SUM(N44:O44)</f>
        <v/>
      </c>
      <c r="S44">
        <f>SUM(P44:Q44)</f>
        <v/>
      </c>
      <c r="T44">
        <f>R44+S44</f>
        <v/>
      </c>
    </row>
    <row r="45">
      <c r="A45" t="inlineStr">
        <is>
          <t xml:space="preserve"> 직원급여</t>
        </is>
      </c>
      <c r="B45" t="n">
        <v>19</v>
      </c>
      <c r="C45" t="n">
        <v>13</v>
      </c>
      <c r="D45" t="n">
        <v>11</v>
      </c>
      <c r="E45" t="n">
        <v>23</v>
      </c>
      <c r="F45" t="n">
        <v>20</v>
      </c>
      <c r="G45" t="n">
        <v>10</v>
      </c>
      <c r="H45" t="n">
        <v>29</v>
      </c>
      <c r="I45" t="n">
        <v>30</v>
      </c>
      <c r="J45" t="n">
        <v>24</v>
      </c>
      <c r="K45" t="n">
        <v>12</v>
      </c>
      <c r="L45" t="n">
        <v>30</v>
      </c>
      <c r="M45" t="n">
        <v>30</v>
      </c>
      <c r="N45">
        <f>SUM(B45:D45)</f>
        <v/>
      </c>
      <c r="O45">
        <f>SUM(E45:G45)</f>
        <v/>
      </c>
      <c r="P45">
        <f>SUM(H45:J45)</f>
        <v/>
      </c>
      <c r="Q45">
        <f>SUM(K45:M45)</f>
        <v/>
      </c>
      <c r="R45">
        <f>SUM(N45:O45)</f>
        <v/>
      </c>
      <c r="S45">
        <f>SUM(P45:Q45)</f>
        <v/>
      </c>
      <c r="T45">
        <f>R45+S45</f>
        <v/>
      </c>
    </row>
    <row r="46">
      <c r="A46" t="inlineStr">
        <is>
          <t xml:space="preserve"> 임원상여</t>
        </is>
      </c>
      <c r="B46" t="n">
        <v>43</v>
      </c>
      <c r="C46" t="n">
        <v>27</v>
      </c>
      <c r="D46" t="n">
        <v>24</v>
      </c>
      <c r="E46" t="n">
        <v>49</v>
      </c>
      <c r="F46" t="n">
        <v>40</v>
      </c>
      <c r="G46" t="n">
        <v>24</v>
      </c>
      <c r="H46" t="n">
        <v>52</v>
      </c>
      <c r="I46" t="n">
        <v>69</v>
      </c>
      <c r="J46" t="n">
        <v>40</v>
      </c>
      <c r="K46" t="n">
        <v>24</v>
      </c>
      <c r="L46" t="n">
        <v>64</v>
      </c>
      <c r="M46" t="n">
        <v>53</v>
      </c>
      <c r="N46">
        <f>SUM(B46:D46)</f>
        <v/>
      </c>
      <c r="O46">
        <f>SUM(E46:G46)</f>
        <v/>
      </c>
      <c r="P46">
        <f>SUM(H46:J46)</f>
        <v/>
      </c>
      <c r="Q46">
        <f>SUM(K46:M46)</f>
        <v/>
      </c>
      <c r="R46">
        <f>SUM(N46:O46)</f>
        <v/>
      </c>
      <c r="S46">
        <f>SUM(P46:Q46)</f>
        <v/>
      </c>
      <c r="T46">
        <f>R46+S46</f>
        <v/>
      </c>
    </row>
    <row r="47">
      <c r="A47" t="inlineStr">
        <is>
          <t xml:space="preserve"> 직원상여</t>
        </is>
      </c>
      <c r="B47" t="n">
        <v>23</v>
      </c>
      <c r="C47" t="n">
        <v>15</v>
      </c>
      <c r="D47" t="n">
        <v>15</v>
      </c>
      <c r="E47" t="n">
        <v>30</v>
      </c>
      <c r="F47" t="n">
        <v>22</v>
      </c>
      <c r="G47" t="n">
        <v>14</v>
      </c>
      <c r="H47" t="n">
        <v>36</v>
      </c>
      <c r="I47" t="n">
        <v>32</v>
      </c>
      <c r="J47" t="n">
        <v>23</v>
      </c>
      <c r="K47" t="n">
        <v>14</v>
      </c>
      <c r="L47" t="n">
        <v>39</v>
      </c>
      <c r="M47" t="n">
        <v>35</v>
      </c>
      <c r="N47">
        <f>SUM(B47:D47)</f>
        <v/>
      </c>
      <c r="O47">
        <f>SUM(E47:G47)</f>
        <v/>
      </c>
      <c r="P47">
        <f>SUM(H47:J47)</f>
        <v/>
      </c>
      <c r="Q47">
        <f>SUM(K47:M47)</f>
        <v/>
      </c>
      <c r="R47">
        <f>SUM(N47:O47)</f>
        <v/>
      </c>
      <c r="S47">
        <f>SUM(P47:Q47)</f>
        <v/>
      </c>
      <c r="T47">
        <f>R47+S47</f>
        <v/>
      </c>
    </row>
    <row r="48">
      <c r="A48" t="inlineStr">
        <is>
          <t xml:space="preserve"> 임금</t>
        </is>
      </c>
      <c r="B48" t="n">
        <v>13</v>
      </c>
      <c r="C48" t="n">
        <v>8</v>
      </c>
      <c r="D48" t="n">
        <v>7</v>
      </c>
      <c r="E48" t="n">
        <v>17</v>
      </c>
      <c r="F48" t="n">
        <v>11</v>
      </c>
      <c r="G48" t="n">
        <v>7</v>
      </c>
      <c r="H48" t="n">
        <v>18</v>
      </c>
      <c r="I48" t="n">
        <v>19</v>
      </c>
      <c r="J48" t="n">
        <v>14</v>
      </c>
      <c r="K48" t="n">
        <v>9</v>
      </c>
      <c r="L48" t="n">
        <v>17</v>
      </c>
      <c r="M48" t="n">
        <v>20</v>
      </c>
      <c r="N48">
        <f>SUM(B48:D48)</f>
        <v/>
      </c>
      <c r="O48">
        <f>SUM(E48:G48)</f>
        <v/>
      </c>
      <c r="P48">
        <f>SUM(H48:J48)</f>
        <v/>
      </c>
      <c r="Q48">
        <f>SUM(K48:M48)</f>
        <v/>
      </c>
      <c r="R48">
        <f>SUM(N48:O48)</f>
        <v/>
      </c>
      <c r="S48">
        <f>SUM(P48:Q48)</f>
        <v/>
      </c>
      <c r="T48">
        <f>R48+S48</f>
        <v/>
      </c>
    </row>
    <row r="49">
      <c r="A49" t="inlineStr">
        <is>
          <t xml:space="preserve"> 제수당</t>
        </is>
      </c>
      <c r="B49" t="n">
        <v>24</v>
      </c>
      <c r="C49" t="n">
        <v>17</v>
      </c>
      <c r="D49" t="n">
        <v>13</v>
      </c>
      <c r="E49" t="n">
        <v>31</v>
      </c>
      <c r="F49" t="n">
        <v>22</v>
      </c>
      <c r="G49" t="n">
        <v>12</v>
      </c>
      <c r="H49" t="n">
        <v>39</v>
      </c>
      <c r="I49" t="n">
        <v>38</v>
      </c>
      <c r="J49" t="n">
        <v>24</v>
      </c>
      <c r="K49" t="n">
        <v>13</v>
      </c>
      <c r="L49" t="n">
        <v>39</v>
      </c>
      <c r="M49" t="n">
        <v>39</v>
      </c>
      <c r="N49">
        <f>SUM(B49:D49)</f>
        <v/>
      </c>
      <c r="O49">
        <f>SUM(E49:G49)</f>
        <v/>
      </c>
      <c r="P49">
        <f>SUM(H49:J49)</f>
        <v/>
      </c>
      <c r="Q49">
        <f>SUM(K49:M49)</f>
        <v/>
      </c>
      <c r="R49">
        <f>SUM(N49:O49)</f>
        <v/>
      </c>
      <c r="S49">
        <f>SUM(P49:Q49)</f>
        <v/>
      </c>
      <c r="T49">
        <f>R49+S49</f>
        <v/>
      </c>
    </row>
    <row r="50">
      <c r="A50" t="inlineStr">
        <is>
          <t xml:space="preserve"> 잡급</t>
        </is>
      </c>
      <c r="B50" t="n">
        <v>4</v>
      </c>
      <c r="C50" t="n">
        <v>3</v>
      </c>
      <c r="D50" t="n">
        <v>2</v>
      </c>
      <c r="E50" t="n">
        <v>5</v>
      </c>
      <c r="F50" t="n">
        <v>4</v>
      </c>
      <c r="G50" t="n">
        <v>2</v>
      </c>
      <c r="H50" t="n">
        <v>5</v>
      </c>
      <c r="I50" t="n">
        <v>6</v>
      </c>
      <c r="J50" t="n">
        <v>5</v>
      </c>
      <c r="K50" t="n">
        <v>2</v>
      </c>
      <c r="L50" t="n">
        <v>6</v>
      </c>
      <c r="M50" t="n">
        <v>6</v>
      </c>
      <c r="N50">
        <f>SUM(B50:D50)</f>
        <v/>
      </c>
      <c r="O50">
        <f>SUM(E50:G50)</f>
        <v/>
      </c>
      <c r="P50">
        <f>SUM(H50:J50)</f>
        <v/>
      </c>
      <c r="Q50">
        <f>SUM(K50:M50)</f>
        <v/>
      </c>
      <c r="R50">
        <f>SUM(N50:O50)</f>
        <v/>
      </c>
      <c r="S50">
        <f>SUM(P50:Q50)</f>
        <v/>
      </c>
      <c r="T50">
        <f>R50+S50</f>
        <v/>
      </c>
    </row>
    <row r="51">
      <c r="A51" t="inlineStr">
        <is>
          <t xml:space="preserve"> 퇴직급여</t>
        </is>
      </c>
      <c r="B51" t="n">
        <v>37</v>
      </c>
      <c r="C51" t="n">
        <v>25</v>
      </c>
      <c r="D51" t="n">
        <v>21</v>
      </c>
      <c r="E51" t="n">
        <v>47</v>
      </c>
      <c r="F51" t="n">
        <v>44</v>
      </c>
      <c r="G51" t="n">
        <v>23</v>
      </c>
      <c r="H51" t="n">
        <v>51</v>
      </c>
      <c r="I51" t="n">
        <v>55</v>
      </c>
      <c r="J51" t="n">
        <v>44</v>
      </c>
      <c r="K51" t="n">
        <v>21</v>
      </c>
      <c r="L51" t="n">
        <v>54</v>
      </c>
      <c r="M51" t="n">
        <v>61</v>
      </c>
      <c r="N51">
        <f>SUM(B51:D51)</f>
        <v/>
      </c>
      <c r="O51">
        <f>SUM(E51:G51)</f>
        <v/>
      </c>
      <c r="P51">
        <f>SUM(H51:J51)</f>
        <v/>
      </c>
      <c r="Q51">
        <f>SUM(K51:M51)</f>
        <v/>
      </c>
      <c r="R51">
        <f>SUM(N51:O51)</f>
        <v/>
      </c>
      <c r="S51">
        <f>SUM(P51:Q51)</f>
        <v/>
      </c>
      <c r="T51">
        <f>R51+S51</f>
        <v/>
      </c>
    </row>
    <row r="52">
      <c r="A52" t="inlineStr">
        <is>
          <t xml:space="preserve"> 대손상각비</t>
        </is>
      </c>
      <c r="B52" t="n">
        <v>22</v>
      </c>
      <c r="C52" t="n">
        <v>15</v>
      </c>
      <c r="D52" t="n">
        <v>10</v>
      </c>
      <c r="E52" t="n">
        <v>25</v>
      </c>
      <c r="F52" t="n">
        <v>21</v>
      </c>
      <c r="G52" t="n">
        <v>10</v>
      </c>
      <c r="H52" t="n">
        <v>26</v>
      </c>
      <c r="I52" t="n">
        <v>29</v>
      </c>
      <c r="J52" t="n">
        <v>19</v>
      </c>
      <c r="K52" t="n">
        <v>11</v>
      </c>
      <c r="L52" t="n">
        <v>33</v>
      </c>
      <c r="M52" t="n">
        <v>28</v>
      </c>
      <c r="N52">
        <f>SUM(B52:D52)</f>
        <v/>
      </c>
      <c r="O52">
        <f>SUM(E52:G52)</f>
        <v/>
      </c>
      <c r="P52">
        <f>SUM(H52:J52)</f>
        <v/>
      </c>
      <c r="Q52">
        <f>SUM(K52:M52)</f>
        <v/>
      </c>
      <c r="R52">
        <f>SUM(N52:O52)</f>
        <v/>
      </c>
      <c r="S52">
        <f>SUM(P52:Q52)</f>
        <v/>
      </c>
      <c r="T52">
        <f>R52+S52</f>
        <v/>
      </c>
    </row>
    <row r="53">
      <c r="A53" t="inlineStr">
        <is>
          <t xml:space="preserve"> 복리후생비</t>
        </is>
      </c>
      <c r="B53" t="n">
        <v>19</v>
      </c>
      <c r="C53" t="n">
        <v>13</v>
      </c>
      <c r="D53" t="n">
        <v>12</v>
      </c>
      <c r="E53" t="n">
        <v>22</v>
      </c>
      <c r="F53" t="n">
        <v>17</v>
      </c>
      <c r="G53" t="n">
        <v>10</v>
      </c>
      <c r="H53" t="n">
        <v>23</v>
      </c>
      <c r="I53" t="n">
        <v>26</v>
      </c>
      <c r="J53" t="n">
        <v>19</v>
      </c>
      <c r="K53" t="n">
        <v>11</v>
      </c>
      <c r="L53" t="n">
        <v>28</v>
      </c>
      <c r="M53" t="n">
        <v>31</v>
      </c>
      <c r="N53">
        <f>SUM(B53:D53)</f>
        <v/>
      </c>
      <c r="O53">
        <f>SUM(E53:G53)</f>
        <v/>
      </c>
      <c r="P53">
        <f>SUM(H53:J53)</f>
        <v/>
      </c>
      <c r="Q53">
        <f>SUM(K53:M53)</f>
        <v/>
      </c>
      <c r="R53">
        <f>SUM(N53:O53)</f>
        <v/>
      </c>
      <c r="S53">
        <f>SUM(P53:Q53)</f>
        <v/>
      </c>
      <c r="T53">
        <f>R53+S53</f>
        <v/>
      </c>
    </row>
    <row r="54">
      <c r="A54" t="inlineStr">
        <is>
          <t xml:space="preserve"> 여비교통비</t>
        </is>
      </c>
      <c r="B54" t="n">
        <v>39</v>
      </c>
      <c r="C54" t="n">
        <v>24</v>
      </c>
      <c r="D54" t="n">
        <v>18</v>
      </c>
      <c r="E54" t="n">
        <v>45</v>
      </c>
      <c r="F54" t="n">
        <v>32</v>
      </c>
      <c r="G54" t="n">
        <v>19</v>
      </c>
      <c r="H54" t="n">
        <v>56</v>
      </c>
      <c r="I54" t="n">
        <v>48</v>
      </c>
      <c r="J54" t="n">
        <v>46</v>
      </c>
      <c r="K54" t="n">
        <v>20</v>
      </c>
      <c r="L54" t="n">
        <v>67</v>
      </c>
      <c r="M54" t="n">
        <v>52</v>
      </c>
      <c r="N54">
        <f>SUM(B54:D54)</f>
        <v/>
      </c>
      <c r="O54">
        <f>SUM(E54:G54)</f>
        <v/>
      </c>
      <c r="P54">
        <f>SUM(H54:J54)</f>
        <v/>
      </c>
      <c r="Q54">
        <f>SUM(K54:M54)</f>
        <v/>
      </c>
      <c r="R54">
        <f>SUM(N54:O54)</f>
        <v/>
      </c>
      <c r="S54">
        <f>SUM(P54:Q54)</f>
        <v/>
      </c>
      <c r="T54">
        <f>R54+S54</f>
        <v/>
      </c>
    </row>
    <row r="55">
      <c r="A55" t="inlineStr">
        <is>
          <t xml:space="preserve"> 통신비</t>
        </is>
      </c>
      <c r="B55" t="n">
        <v>23</v>
      </c>
      <c r="C55" t="n">
        <v>16</v>
      </c>
      <c r="D55" t="n">
        <v>13</v>
      </c>
      <c r="E55" t="n">
        <v>29</v>
      </c>
      <c r="F55" t="n">
        <v>20</v>
      </c>
      <c r="G55" t="n">
        <v>12</v>
      </c>
      <c r="H55" t="n">
        <v>38</v>
      </c>
      <c r="I55" t="n">
        <v>35</v>
      </c>
      <c r="J55" t="n">
        <v>28</v>
      </c>
      <c r="K55" t="n">
        <v>13</v>
      </c>
      <c r="L55" t="n">
        <v>38</v>
      </c>
      <c r="M55" t="n">
        <v>35</v>
      </c>
      <c r="N55">
        <f>SUM(B55:D55)</f>
        <v/>
      </c>
      <c r="O55">
        <f>SUM(E55:G55)</f>
        <v/>
      </c>
      <c r="P55">
        <f>SUM(H55:J55)</f>
        <v/>
      </c>
      <c r="Q55">
        <f>SUM(K55:M55)</f>
        <v/>
      </c>
      <c r="R55">
        <f>SUM(N55:O55)</f>
        <v/>
      </c>
      <c r="S55">
        <f>SUM(P55:Q55)</f>
        <v/>
      </c>
      <c r="T55">
        <f>R55+S55</f>
        <v/>
      </c>
    </row>
    <row r="56">
      <c r="A56" t="inlineStr">
        <is>
          <t xml:space="preserve"> 소모품비</t>
        </is>
      </c>
      <c r="B56" t="n">
        <v>44</v>
      </c>
      <c r="C56" t="n">
        <v>29</v>
      </c>
      <c r="D56" t="n">
        <v>28</v>
      </c>
      <c r="E56" t="n">
        <v>63</v>
      </c>
      <c r="F56" t="n">
        <v>52</v>
      </c>
      <c r="G56" t="n">
        <v>24</v>
      </c>
      <c r="H56" t="n">
        <v>59</v>
      </c>
      <c r="I56" t="n">
        <v>74</v>
      </c>
      <c r="J56" t="n">
        <v>54</v>
      </c>
      <c r="K56" t="n">
        <v>27</v>
      </c>
      <c r="L56" t="n">
        <v>80</v>
      </c>
      <c r="M56" t="n">
        <v>77</v>
      </c>
      <c r="N56">
        <f>SUM(B56:D56)</f>
        <v/>
      </c>
      <c r="O56">
        <f>SUM(E56:G56)</f>
        <v/>
      </c>
      <c r="P56">
        <f>SUM(H56:J56)</f>
        <v/>
      </c>
      <c r="Q56">
        <f>SUM(K56:M56)</f>
        <v/>
      </c>
      <c r="R56">
        <f>SUM(N56:O56)</f>
        <v/>
      </c>
      <c r="S56">
        <f>SUM(P56:Q56)</f>
        <v/>
      </c>
      <c r="T56">
        <f>R56+S56</f>
        <v/>
      </c>
    </row>
    <row r="57">
      <c r="A57" t="inlineStr">
        <is>
          <t xml:space="preserve"> 도서인쇄비</t>
        </is>
      </c>
      <c r="B57" t="n">
        <v>11</v>
      </c>
      <c r="C57" t="n">
        <v>7</v>
      </c>
      <c r="D57" t="n">
        <v>7</v>
      </c>
      <c r="E57" t="n">
        <v>12</v>
      </c>
      <c r="F57" t="n">
        <v>12</v>
      </c>
      <c r="G57" t="n">
        <v>6</v>
      </c>
      <c r="H57" t="n">
        <v>16</v>
      </c>
      <c r="I57" t="n">
        <v>18</v>
      </c>
      <c r="J57" t="n">
        <v>14</v>
      </c>
      <c r="K57" t="n">
        <v>6</v>
      </c>
      <c r="L57" t="n">
        <v>16</v>
      </c>
      <c r="M57" t="n">
        <v>14</v>
      </c>
      <c r="N57">
        <f>SUM(B57:D57)</f>
        <v/>
      </c>
      <c r="O57">
        <f>SUM(E57:G57)</f>
        <v/>
      </c>
      <c r="P57">
        <f>SUM(H57:J57)</f>
        <v/>
      </c>
      <c r="Q57">
        <f>SUM(K57:M57)</f>
        <v/>
      </c>
      <c r="R57">
        <f>SUM(N57:O57)</f>
        <v/>
      </c>
      <c r="S57">
        <f>SUM(P57:Q57)</f>
        <v/>
      </c>
      <c r="T57">
        <f>R57+S57</f>
        <v/>
      </c>
    </row>
    <row r="58">
      <c r="A58" t="inlineStr">
        <is>
          <t xml:space="preserve"> 세금과공과</t>
        </is>
      </c>
      <c r="B58" t="n">
        <v>26</v>
      </c>
      <c r="C58" t="n">
        <v>18</v>
      </c>
      <c r="D58" t="n">
        <v>16</v>
      </c>
      <c r="E58" t="n">
        <v>33</v>
      </c>
      <c r="F58" t="n">
        <v>26</v>
      </c>
      <c r="G58" t="n">
        <v>16</v>
      </c>
      <c r="H58" t="n">
        <v>41</v>
      </c>
      <c r="I58" t="n">
        <v>38</v>
      </c>
      <c r="J58" t="n">
        <v>30</v>
      </c>
      <c r="K58" t="n">
        <v>16</v>
      </c>
      <c r="L58" t="n">
        <v>37</v>
      </c>
      <c r="M58" t="n">
        <v>40</v>
      </c>
      <c r="N58">
        <f>SUM(B58:D58)</f>
        <v/>
      </c>
      <c r="O58">
        <f>SUM(E58:G58)</f>
        <v/>
      </c>
      <c r="P58">
        <f>SUM(H58:J58)</f>
        <v/>
      </c>
      <c r="Q58">
        <f>SUM(K58:M58)</f>
        <v/>
      </c>
      <c r="R58">
        <f>SUM(N58:O58)</f>
        <v/>
      </c>
      <c r="S58">
        <f>SUM(P58:Q58)</f>
        <v/>
      </c>
      <c r="T58">
        <f>R58+S58</f>
        <v/>
      </c>
    </row>
    <row r="59">
      <c r="A59" t="inlineStr">
        <is>
          <t xml:space="preserve"> 임차료</t>
        </is>
      </c>
      <c r="B59" t="n">
        <v>44</v>
      </c>
      <c r="C59" t="n">
        <v>35</v>
      </c>
      <c r="D59" t="n">
        <v>26</v>
      </c>
      <c r="E59" t="n">
        <v>50</v>
      </c>
      <c r="F59" t="n">
        <v>48</v>
      </c>
      <c r="G59" t="n">
        <v>26</v>
      </c>
      <c r="H59" t="n">
        <v>57</v>
      </c>
      <c r="I59" t="n">
        <v>66</v>
      </c>
      <c r="J59" t="n">
        <v>55</v>
      </c>
      <c r="K59" t="n">
        <v>29</v>
      </c>
      <c r="L59" t="n">
        <v>71</v>
      </c>
      <c r="M59" t="n">
        <v>56</v>
      </c>
      <c r="N59">
        <f>SUM(B59:D59)</f>
        <v/>
      </c>
      <c r="O59">
        <f>SUM(E59:G59)</f>
        <v/>
      </c>
      <c r="P59">
        <f>SUM(H59:J59)</f>
        <v/>
      </c>
      <c r="Q59">
        <f>SUM(K59:M59)</f>
        <v/>
      </c>
      <c r="R59">
        <f>SUM(N59:O59)</f>
        <v/>
      </c>
      <c r="S59">
        <f>SUM(P59:Q59)</f>
        <v/>
      </c>
      <c r="T59">
        <f>R59+S59</f>
        <v/>
      </c>
    </row>
    <row r="60">
      <c r="A60" t="inlineStr">
        <is>
          <t xml:space="preserve"> 수도광열비</t>
        </is>
      </c>
      <c r="B60" t="n">
        <v>36</v>
      </c>
      <c r="C60" t="n">
        <v>28</v>
      </c>
      <c r="D60" t="n">
        <v>22</v>
      </c>
      <c r="E60" t="n">
        <v>41</v>
      </c>
      <c r="F60" t="n">
        <v>31</v>
      </c>
      <c r="G60" t="n">
        <v>20</v>
      </c>
      <c r="H60" t="n">
        <v>48</v>
      </c>
      <c r="I60" t="n">
        <v>55</v>
      </c>
      <c r="J60" t="n">
        <v>39</v>
      </c>
      <c r="K60" t="n">
        <v>24</v>
      </c>
      <c r="L60" t="n">
        <v>65</v>
      </c>
      <c r="M60" t="n">
        <v>50</v>
      </c>
      <c r="N60">
        <f>SUM(B60:D60)</f>
        <v/>
      </c>
      <c r="O60">
        <f>SUM(E60:G60)</f>
        <v/>
      </c>
      <c r="P60">
        <f>SUM(H60:J60)</f>
        <v/>
      </c>
      <c r="Q60">
        <f>SUM(K60:M60)</f>
        <v/>
      </c>
      <c r="R60">
        <f>SUM(N60:O60)</f>
        <v/>
      </c>
      <c r="S60">
        <f>SUM(P60:Q60)</f>
        <v/>
      </c>
      <c r="T60">
        <f>R60+S60</f>
        <v/>
      </c>
    </row>
    <row r="61">
      <c r="A61" t="inlineStr">
        <is>
          <t xml:space="preserve"> 광고선전비</t>
        </is>
      </c>
      <c r="B61" t="n">
        <v>32</v>
      </c>
      <c r="C61" t="n">
        <v>22</v>
      </c>
      <c r="D61" t="n">
        <v>15</v>
      </c>
      <c r="E61" t="n">
        <v>41</v>
      </c>
      <c r="F61" t="n">
        <v>28</v>
      </c>
      <c r="G61" t="n">
        <v>18</v>
      </c>
      <c r="H61" t="n">
        <v>44</v>
      </c>
      <c r="I61" t="n">
        <v>48</v>
      </c>
      <c r="J61" t="n">
        <v>38</v>
      </c>
      <c r="K61" t="n">
        <v>21</v>
      </c>
      <c r="L61" t="n">
        <v>43</v>
      </c>
      <c r="M61" t="n">
        <v>39</v>
      </c>
      <c r="N61">
        <f>SUM(B61:D61)</f>
        <v/>
      </c>
      <c r="O61">
        <f>SUM(E61:G61)</f>
        <v/>
      </c>
      <c r="P61">
        <f>SUM(H61:J61)</f>
        <v/>
      </c>
      <c r="Q61">
        <f>SUM(K61:M61)</f>
        <v/>
      </c>
      <c r="R61">
        <f>SUM(N61:O61)</f>
        <v/>
      </c>
      <c r="S61">
        <f>SUM(P61:Q61)</f>
        <v/>
      </c>
      <c r="T61">
        <f>R61+S61</f>
        <v/>
      </c>
    </row>
    <row r="62">
      <c r="A62" t="inlineStr">
        <is>
          <t xml:space="preserve"> 접대비(A)</t>
        </is>
      </c>
      <c r="B62" t="n">
        <v>26</v>
      </c>
      <c r="C62" t="n">
        <v>24</v>
      </c>
      <c r="D62" t="n">
        <v>19</v>
      </c>
      <c r="E62" t="n">
        <v>41</v>
      </c>
      <c r="F62" t="n">
        <v>30</v>
      </c>
      <c r="G62" t="n">
        <v>17</v>
      </c>
      <c r="H62" t="n">
        <v>47</v>
      </c>
      <c r="I62" t="n">
        <v>54</v>
      </c>
      <c r="J62" t="n">
        <v>38</v>
      </c>
      <c r="K62" t="n">
        <v>20</v>
      </c>
      <c r="L62" t="n">
        <v>48</v>
      </c>
      <c r="M62" t="n">
        <v>53</v>
      </c>
      <c r="N62">
        <f>SUM(B62:D62)</f>
        <v/>
      </c>
      <c r="O62">
        <f>SUM(E62:G62)</f>
        <v/>
      </c>
      <c r="P62">
        <f>SUM(H62:J62)</f>
        <v/>
      </c>
      <c r="Q62">
        <f>SUM(K62:M62)</f>
        <v/>
      </c>
      <c r="R62">
        <f>SUM(N62:O62)</f>
        <v/>
      </c>
      <c r="S62">
        <f>SUM(P62:Q62)</f>
        <v/>
      </c>
      <c r="T62">
        <f>R62+S62</f>
        <v/>
      </c>
    </row>
    <row r="63">
      <c r="A63" t="inlineStr">
        <is>
          <t xml:space="preserve"> 차량유지비</t>
        </is>
      </c>
      <c r="B63" t="n">
        <v>15</v>
      </c>
      <c r="C63" t="n">
        <v>10</v>
      </c>
      <c r="D63" t="n">
        <v>7</v>
      </c>
      <c r="E63" t="n">
        <v>21</v>
      </c>
      <c r="F63" t="n">
        <v>13</v>
      </c>
      <c r="G63" t="n">
        <v>9</v>
      </c>
      <c r="H63" t="n">
        <v>19</v>
      </c>
      <c r="I63" t="n">
        <v>24</v>
      </c>
      <c r="J63" t="n">
        <v>16</v>
      </c>
      <c r="K63" t="n">
        <v>10</v>
      </c>
      <c r="L63" t="n">
        <v>23</v>
      </c>
      <c r="M63" t="n">
        <v>20</v>
      </c>
      <c r="N63">
        <f>SUM(B63:D63)</f>
        <v/>
      </c>
      <c r="O63">
        <f>SUM(E63:G63)</f>
        <v/>
      </c>
      <c r="P63">
        <f>SUM(H63:J63)</f>
        <v/>
      </c>
      <c r="Q63">
        <f>SUM(K63:M63)</f>
        <v/>
      </c>
      <c r="R63">
        <f>SUM(N63:O63)</f>
        <v/>
      </c>
      <c r="S63">
        <f>SUM(P63:Q63)</f>
        <v/>
      </c>
      <c r="T63">
        <f>R63+S63</f>
        <v/>
      </c>
    </row>
    <row r="64">
      <c r="A64" t="inlineStr">
        <is>
          <t xml:space="preserve"> 운반비</t>
        </is>
      </c>
      <c r="B64" t="n">
        <v>21</v>
      </c>
      <c r="C64" t="n">
        <v>13</v>
      </c>
      <c r="D64" t="n">
        <v>10</v>
      </c>
      <c r="E64" t="n">
        <v>26</v>
      </c>
      <c r="F64" t="n">
        <v>21</v>
      </c>
      <c r="G64" t="n">
        <v>13</v>
      </c>
      <c r="H64" t="n">
        <v>30</v>
      </c>
      <c r="I64" t="n">
        <v>34</v>
      </c>
      <c r="J64" t="n">
        <v>24</v>
      </c>
      <c r="K64" t="n">
        <v>11</v>
      </c>
      <c r="L64" t="n">
        <v>29</v>
      </c>
      <c r="M64" t="n">
        <v>33</v>
      </c>
      <c r="N64">
        <f>SUM(B64:D64)</f>
        <v/>
      </c>
      <c r="O64">
        <f>SUM(E64:G64)</f>
        <v/>
      </c>
      <c r="P64">
        <f>SUM(H64:J64)</f>
        <v/>
      </c>
      <c r="Q64">
        <f>SUM(K64:M64)</f>
        <v/>
      </c>
      <c r="R64">
        <f>SUM(N64:O64)</f>
        <v/>
      </c>
      <c r="S64">
        <f>SUM(P64:Q64)</f>
        <v/>
      </c>
      <c r="T64">
        <f>R64+S64</f>
        <v/>
      </c>
    </row>
    <row r="65">
      <c r="A65" t="inlineStr">
        <is>
          <t xml:space="preserve"> 지급수수료</t>
        </is>
      </c>
      <c r="B65" t="n">
        <v>6</v>
      </c>
      <c r="C65" t="n">
        <v>5</v>
      </c>
      <c r="D65" t="n">
        <v>3</v>
      </c>
      <c r="E65" t="n">
        <v>7</v>
      </c>
      <c r="F65" t="n">
        <v>6</v>
      </c>
      <c r="G65" t="n">
        <v>4</v>
      </c>
      <c r="H65" t="n">
        <v>8</v>
      </c>
      <c r="I65" t="n">
        <v>9</v>
      </c>
      <c r="J65" t="n">
        <v>7</v>
      </c>
      <c r="K65" t="n">
        <v>3</v>
      </c>
      <c r="L65" t="n">
        <v>9</v>
      </c>
      <c r="M65" t="n">
        <v>8</v>
      </c>
      <c r="N65">
        <f>SUM(B65:D65)</f>
        <v/>
      </c>
      <c r="O65">
        <f>SUM(E65:G65)</f>
        <v/>
      </c>
      <c r="P65">
        <f>SUM(H65:J65)</f>
        <v/>
      </c>
      <c r="Q65">
        <f>SUM(K65:M65)</f>
        <v/>
      </c>
      <c r="R65">
        <f>SUM(N65:O65)</f>
        <v/>
      </c>
      <c r="S65">
        <f>SUM(P65:Q65)</f>
        <v/>
      </c>
      <c r="T65">
        <f>R65+S65</f>
        <v/>
      </c>
    </row>
    <row r="66">
      <c r="A66" t="inlineStr">
        <is>
          <t xml:space="preserve"> 수출비용(A)</t>
        </is>
      </c>
      <c r="B66" t="n">
        <v>7</v>
      </c>
      <c r="C66" t="n">
        <v>5</v>
      </c>
      <c r="D66" t="n">
        <v>4</v>
      </c>
      <c r="E66" t="n">
        <v>8</v>
      </c>
      <c r="F66" t="n">
        <v>6</v>
      </c>
      <c r="G66" t="n">
        <v>4</v>
      </c>
      <c r="H66" t="n">
        <v>11</v>
      </c>
      <c r="I66" t="n">
        <v>9</v>
      </c>
      <c r="J66" t="n">
        <v>8</v>
      </c>
      <c r="K66" t="n">
        <v>4</v>
      </c>
      <c r="L66" t="n">
        <v>11</v>
      </c>
      <c r="M66" t="n">
        <v>10</v>
      </c>
      <c r="N66">
        <f>SUM(B66:D66)</f>
        <v/>
      </c>
      <c r="O66">
        <f>SUM(E66:G66)</f>
        <v/>
      </c>
      <c r="P66">
        <f>SUM(H66:J66)</f>
        <v/>
      </c>
      <c r="Q66">
        <f>SUM(K66:M66)</f>
        <v/>
      </c>
      <c r="R66">
        <f>SUM(N66:O66)</f>
        <v/>
      </c>
      <c r="S66">
        <f>SUM(P66:Q66)</f>
        <v/>
      </c>
      <c r="T66">
        <f>R66+S66</f>
        <v/>
      </c>
    </row>
    <row r="67">
      <c r="A67" t="inlineStr">
        <is>
          <t xml:space="preserve"> 교육훈련비</t>
        </is>
      </c>
      <c r="B67" t="n">
        <v>42</v>
      </c>
      <c r="C67" t="n">
        <v>31</v>
      </c>
      <c r="D67" t="n">
        <v>25</v>
      </c>
      <c r="E67" t="n">
        <v>55</v>
      </c>
      <c r="F67" t="n">
        <v>42</v>
      </c>
      <c r="G67" t="n">
        <v>27</v>
      </c>
      <c r="H67" t="n">
        <v>68</v>
      </c>
      <c r="I67" t="n">
        <v>75</v>
      </c>
      <c r="J67" t="n">
        <v>46</v>
      </c>
      <c r="K67" t="n">
        <v>24</v>
      </c>
      <c r="L67" t="n">
        <v>69</v>
      </c>
      <c r="M67" t="n">
        <v>69</v>
      </c>
      <c r="N67">
        <f>SUM(B67:D67)</f>
        <v/>
      </c>
      <c r="O67">
        <f>SUM(E67:G67)</f>
        <v/>
      </c>
      <c r="P67">
        <f>SUM(H67:J67)</f>
        <v/>
      </c>
      <c r="Q67">
        <f>SUM(K67:M67)</f>
        <v/>
      </c>
      <c r="R67">
        <f>SUM(N67:O67)</f>
        <v/>
      </c>
      <c r="S67">
        <f>SUM(P67:Q67)</f>
        <v/>
      </c>
      <c r="T67">
        <f>R67+S67</f>
        <v/>
      </c>
    </row>
    <row r="68">
      <c r="A68" t="inlineStr">
        <is>
          <t xml:space="preserve"> 감가상각비</t>
        </is>
      </c>
      <c r="B68" t="n">
        <v>34</v>
      </c>
      <c r="C68" t="n">
        <v>22</v>
      </c>
      <c r="D68" t="n">
        <v>15</v>
      </c>
      <c r="E68" t="n">
        <v>38</v>
      </c>
      <c r="F68" t="n">
        <v>31</v>
      </c>
      <c r="G68" t="n">
        <v>18</v>
      </c>
      <c r="H68" t="n">
        <v>43</v>
      </c>
      <c r="I68" t="n">
        <v>41</v>
      </c>
      <c r="J68" t="n">
        <v>33</v>
      </c>
      <c r="K68" t="n">
        <v>20</v>
      </c>
      <c r="L68" t="n">
        <v>47</v>
      </c>
      <c r="M68" t="n">
        <v>51</v>
      </c>
      <c r="N68">
        <f>SUM(B68:D68)</f>
        <v/>
      </c>
      <c r="O68">
        <f>SUM(E68:G68)</f>
        <v/>
      </c>
      <c r="P68">
        <f>SUM(H68:J68)</f>
        <v/>
      </c>
      <c r="Q68">
        <f>SUM(K68:M68)</f>
        <v/>
      </c>
      <c r="R68">
        <f>SUM(N68:O68)</f>
        <v/>
      </c>
      <c r="S68">
        <f>SUM(P68:Q68)</f>
        <v/>
      </c>
      <c r="T68">
        <f>R68+S68</f>
        <v/>
      </c>
    </row>
    <row r="69">
      <c r="A69" t="inlineStr">
        <is>
          <t xml:space="preserve"> 무형자산상각비</t>
        </is>
      </c>
      <c r="B69" t="n">
        <v>30</v>
      </c>
      <c r="C69" t="n">
        <v>23</v>
      </c>
      <c r="D69" t="n">
        <v>17</v>
      </c>
      <c r="E69" t="n">
        <v>38</v>
      </c>
      <c r="F69" t="n">
        <v>29</v>
      </c>
      <c r="G69" t="n">
        <v>21</v>
      </c>
      <c r="H69" t="n">
        <v>45</v>
      </c>
      <c r="I69" t="n">
        <v>51</v>
      </c>
      <c r="J69" t="n">
        <v>35</v>
      </c>
      <c r="K69" t="n">
        <v>22</v>
      </c>
      <c r="L69" t="n">
        <v>60</v>
      </c>
      <c r="M69" t="n">
        <v>45</v>
      </c>
      <c r="N69">
        <f>SUM(B69:D69)</f>
        <v/>
      </c>
      <c r="O69">
        <f>SUM(E69:G69)</f>
        <v/>
      </c>
      <c r="P69">
        <f>SUM(H69:J69)</f>
        <v/>
      </c>
      <c r="Q69">
        <f>SUM(K69:M69)</f>
        <v/>
      </c>
      <c r="R69">
        <f>SUM(N69:O69)</f>
        <v/>
      </c>
      <c r="S69">
        <f>SUM(P69:Q69)</f>
        <v/>
      </c>
      <c r="T69">
        <f>R69+S69</f>
        <v/>
      </c>
    </row>
    <row r="70">
      <c r="A70" t="inlineStr">
        <is>
          <t xml:space="preserve"> 수선유지비</t>
        </is>
      </c>
      <c r="B70" t="n">
        <v>32</v>
      </c>
      <c r="C70" t="n">
        <v>20</v>
      </c>
      <c r="D70" t="n">
        <v>18</v>
      </c>
      <c r="E70" t="n">
        <v>35</v>
      </c>
      <c r="F70" t="n">
        <v>28</v>
      </c>
      <c r="G70" t="n">
        <v>14</v>
      </c>
      <c r="H70" t="n">
        <v>40</v>
      </c>
      <c r="I70" t="n">
        <v>37</v>
      </c>
      <c r="J70" t="n">
        <v>30</v>
      </c>
      <c r="K70" t="n">
        <v>19</v>
      </c>
      <c r="L70" t="n">
        <v>41</v>
      </c>
      <c r="M70" t="n">
        <v>39</v>
      </c>
      <c r="N70">
        <f>SUM(B70:D70)</f>
        <v/>
      </c>
      <c r="O70">
        <f>SUM(E70:G70)</f>
        <v/>
      </c>
      <c r="P70">
        <f>SUM(H70:J70)</f>
        <v/>
      </c>
      <c r="Q70">
        <f>SUM(K70:M70)</f>
        <v/>
      </c>
      <c r="R70">
        <f>SUM(N70:O70)</f>
        <v/>
      </c>
      <c r="S70">
        <f>SUM(P70:Q70)</f>
        <v/>
      </c>
      <c r="T70">
        <f>R70+S70</f>
        <v/>
      </c>
    </row>
    <row r="71">
      <c r="A71" t="inlineStr">
        <is>
          <t xml:space="preserve"> 보험료</t>
        </is>
      </c>
      <c r="B71" t="n">
        <v>9</v>
      </c>
      <c r="C71" t="n">
        <v>6</v>
      </c>
      <c r="D71" t="n">
        <v>5</v>
      </c>
      <c r="E71" t="n">
        <v>9</v>
      </c>
      <c r="F71" t="n">
        <v>9</v>
      </c>
      <c r="G71" t="n">
        <v>4</v>
      </c>
      <c r="H71" t="n">
        <v>10</v>
      </c>
      <c r="I71" t="n">
        <v>12</v>
      </c>
      <c r="J71" t="n">
        <v>9</v>
      </c>
      <c r="K71" t="n">
        <v>5</v>
      </c>
      <c r="L71" t="n">
        <v>12</v>
      </c>
      <c r="M71" t="n">
        <v>13</v>
      </c>
      <c r="N71">
        <f>SUM(B71:D71)</f>
        <v/>
      </c>
      <c r="O71">
        <f>SUM(E71:G71)</f>
        <v/>
      </c>
      <c r="P71">
        <f>SUM(H71:J71)</f>
        <v/>
      </c>
      <c r="Q71">
        <f>SUM(K71:M71)</f>
        <v/>
      </c>
      <c r="R71">
        <f>SUM(N71:O71)</f>
        <v/>
      </c>
      <c r="S71">
        <f>SUM(P71:Q71)</f>
        <v/>
      </c>
      <c r="T71">
        <f>R71+S71</f>
        <v/>
      </c>
    </row>
    <row r="72">
      <c r="A72" t="inlineStr">
        <is>
          <t xml:space="preserve"> 회의비</t>
        </is>
      </c>
      <c r="B72" t="n">
        <v>15</v>
      </c>
      <c r="C72" t="n">
        <v>13</v>
      </c>
      <c r="D72" t="n">
        <v>9</v>
      </c>
      <c r="E72" t="n">
        <v>18</v>
      </c>
      <c r="F72" t="n">
        <v>14</v>
      </c>
      <c r="G72" t="n">
        <v>9</v>
      </c>
      <c r="H72" t="n">
        <v>26</v>
      </c>
      <c r="I72" t="n">
        <v>25</v>
      </c>
      <c r="J72" t="n">
        <v>20</v>
      </c>
      <c r="K72" t="n">
        <v>12</v>
      </c>
      <c r="L72" t="n">
        <v>30</v>
      </c>
      <c r="M72" t="n">
        <v>26</v>
      </c>
      <c r="N72">
        <f>SUM(B72:D72)</f>
        <v/>
      </c>
      <c r="O72">
        <f>SUM(E72:G72)</f>
        <v/>
      </c>
      <c r="P72">
        <f>SUM(H72:J72)</f>
        <v/>
      </c>
      <c r="Q72">
        <f>SUM(K72:M72)</f>
        <v/>
      </c>
      <c r="R72">
        <f>SUM(N72:O72)</f>
        <v/>
      </c>
      <c r="S72">
        <f>SUM(P72:Q72)</f>
        <v/>
      </c>
      <c r="T72">
        <f>R72+S72</f>
        <v/>
      </c>
    </row>
    <row r="73">
      <c r="A73" t="inlineStr">
        <is>
          <t xml:space="preserve"> 시험설치비(A)</t>
        </is>
      </c>
      <c r="B73" t="n">
        <v>23</v>
      </c>
      <c r="C73" t="n">
        <v>15</v>
      </c>
      <c r="D73" t="n">
        <v>10</v>
      </c>
      <c r="E73" t="n">
        <v>25</v>
      </c>
      <c r="F73" t="n">
        <v>19</v>
      </c>
      <c r="G73" t="n">
        <v>11</v>
      </c>
      <c r="H73" t="n">
        <v>34</v>
      </c>
      <c r="I73" t="n">
        <v>32</v>
      </c>
      <c r="J73" t="n">
        <v>21</v>
      </c>
      <c r="K73" t="n">
        <v>14</v>
      </c>
      <c r="L73" t="n">
        <v>33</v>
      </c>
      <c r="M73" t="n">
        <v>29</v>
      </c>
      <c r="N73">
        <f>SUM(B73:D73)</f>
        <v/>
      </c>
      <c r="O73">
        <f>SUM(E73:G73)</f>
        <v/>
      </c>
      <c r="P73">
        <f>SUM(H73:J73)</f>
        <v/>
      </c>
      <c r="Q73">
        <f>SUM(K73:M73)</f>
        <v/>
      </c>
      <c r="R73">
        <f>SUM(N73:O73)</f>
        <v/>
      </c>
      <c r="S73">
        <f>SUM(P73:Q73)</f>
        <v/>
      </c>
      <c r="T73">
        <f>R73+S73</f>
        <v/>
      </c>
    </row>
    <row r="74">
      <c r="A74" t="inlineStr">
        <is>
          <t xml:space="preserve"> 경상연구개발비</t>
        </is>
      </c>
      <c r="B74" t="n">
        <v>47</v>
      </c>
      <c r="C74" t="n">
        <v>28</v>
      </c>
      <c r="D74" t="n">
        <v>29</v>
      </c>
      <c r="E74" t="n">
        <v>65</v>
      </c>
      <c r="F74" t="n">
        <v>39</v>
      </c>
      <c r="G74" t="n">
        <v>26</v>
      </c>
      <c r="H74" t="n">
        <v>57</v>
      </c>
      <c r="I74" t="n">
        <v>77</v>
      </c>
      <c r="J74" t="n">
        <v>47</v>
      </c>
      <c r="K74" t="n">
        <v>29</v>
      </c>
      <c r="L74" t="n">
        <v>79</v>
      </c>
      <c r="M74" t="n">
        <v>73</v>
      </c>
      <c r="N74">
        <f>SUM(B74:D74)</f>
        <v/>
      </c>
      <c r="O74">
        <f>SUM(E74:G74)</f>
        <v/>
      </c>
      <c r="P74">
        <f>SUM(H74:J74)</f>
        <v/>
      </c>
      <c r="Q74">
        <f>SUM(K74:M74)</f>
        <v/>
      </c>
      <c r="R74">
        <f>SUM(N74:O74)</f>
        <v/>
      </c>
      <c r="S74">
        <f>SUM(P74:Q74)</f>
        <v/>
      </c>
      <c r="T74">
        <f>R74+S74</f>
        <v/>
      </c>
    </row>
    <row r="75">
      <c r="A75" t="inlineStr">
        <is>
          <t xml:space="preserve"> 연구개발비(국책과제</t>
        </is>
      </c>
      <c r="B75" t="n">
        <v>45</v>
      </c>
      <c r="C75" t="n">
        <v>28</v>
      </c>
      <c r="D75" t="n">
        <v>24</v>
      </c>
      <c r="E75" t="n">
        <v>50</v>
      </c>
      <c r="F75" t="n">
        <v>42</v>
      </c>
      <c r="G75" t="n">
        <v>28</v>
      </c>
      <c r="H75" t="n">
        <v>69</v>
      </c>
      <c r="I75" t="n">
        <v>68</v>
      </c>
      <c r="J75" t="n">
        <v>54</v>
      </c>
      <c r="K75" t="n">
        <v>29</v>
      </c>
      <c r="L75" t="n">
        <v>72</v>
      </c>
      <c r="M75" t="n">
        <v>66</v>
      </c>
      <c r="N75">
        <f>SUM(B75:D75)</f>
        <v/>
      </c>
      <c r="O75">
        <f>SUM(E75:G75)</f>
        <v/>
      </c>
      <c r="P75">
        <f>SUM(H75:J75)</f>
        <v/>
      </c>
      <c r="Q75">
        <f>SUM(K75:M75)</f>
        <v/>
      </c>
      <c r="R75">
        <f>SUM(N75:O75)</f>
        <v/>
      </c>
      <c r="S75">
        <f>SUM(P75:Q75)</f>
        <v/>
      </c>
      <c r="T75">
        <f>R75+S75</f>
        <v/>
      </c>
    </row>
    <row r="76">
      <c r="A76" t="inlineStr">
        <is>
          <t xml:space="preserve"> 판매보증비</t>
        </is>
      </c>
      <c r="B76" t="n">
        <v>44</v>
      </c>
      <c r="C76" t="n">
        <v>31</v>
      </c>
      <c r="D76" t="n">
        <v>26</v>
      </c>
      <c r="E76" t="n">
        <v>65</v>
      </c>
      <c r="F76" t="n">
        <v>53</v>
      </c>
      <c r="G76" t="n">
        <v>30</v>
      </c>
      <c r="H76" t="n">
        <v>68</v>
      </c>
      <c r="I76" t="n">
        <v>80</v>
      </c>
      <c r="J76" t="n">
        <v>57</v>
      </c>
      <c r="K76" t="n">
        <v>27</v>
      </c>
      <c r="L76" t="n">
        <v>85</v>
      </c>
      <c r="M76" t="n">
        <v>61</v>
      </c>
      <c r="N76">
        <f>SUM(B76:D76)</f>
        <v/>
      </c>
      <c r="O76">
        <f>SUM(E76:G76)</f>
        <v/>
      </c>
      <c r="P76">
        <f>SUM(H76:J76)</f>
        <v/>
      </c>
      <c r="Q76">
        <f>SUM(K76:M76)</f>
        <v/>
      </c>
      <c r="R76">
        <f>SUM(N76:O76)</f>
        <v/>
      </c>
      <c r="S76">
        <f>SUM(P76:Q76)</f>
        <v/>
      </c>
      <c r="T76">
        <f>R76+S76</f>
        <v/>
      </c>
    </row>
    <row r="77">
      <c r="A77" t="inlineStr">
        <is>
          <t xml:space="preserve"> 대손충당금환입</t>
        </is>
      </c>
      <c r="B77" t="n">
        <v>46</v>
      </c>
      <c r="C77" t="n">
        <v>30</v>
      </c>
      <c r="D77" t="n">
        <v>27</v>
      </c>
      <c r="E77" t="n">
        <v>62</v>
      </c>
      <c r="F77" t="n">
        <v>52</v>
      </c>
      <c r="G77" t="n">
        <v>30</v>
      </c>
      <c r="H77" t="n">
        <v>65</v>
      </c>
      <c r="I77" t="n">
        <v>59</v>
      </c>
      <c r="J77" t="n">
        <v>44</v>
      </c>
      <c r="K77" t="n">
        <v>33</v>
      </c>
      <c r="L77" t="n">
        <v>71</v>
      </c>
      <c r="M77" t="n">
        <v>62</v>
      </c>
      <c r="N77">
        <f>SUM(B77:D77)</f>
        <v/>
      </c>
      <c r="O77">
        <f>SUM(E77:G77)</f>
        <v/>
      </c>
      <c r="P77">
        <f>SUM(H77:J77)</f>
        <v/>
      </c>
      <c r="Q77">
        <f>SUM(K77:M77)</f>
        <v/>
      </c>
      <c r="R77">
        <f>SUM(N77:O77)</f>
        <v/>
      </c>
      <c r="S77">
        <f>SUM(P77:Q77)</f>
        <v/>
      </c>
      <c r="T77">
        <f>R77+S77</f>
        <v/>
      </c>
    </row>
    <row r="78">
      <c r="A78" t="inlineStr">
        <is>
          <t xml:space="preserve"> 불량제품손실</t>
        </is>
      </c>
      <c r="B78" t="n">
        <v>20</v>
      </c>
      <c r="C78" t="n">
        <v>16</v>
      </c>
      <c r="D78" t="n">
        <v>13</v>
      </c>
      <c r="E78" t="n">
        <v>32</v>
      </c>
      <c r="F78" t="n">
        <v>21</v>
      </c>
      <c r="G78" t="n">
        <v>13</v>
      </c>
      <c r="H78" t="n">
        <v>39</v>
      </c>
      <c r="I78" t="n">
        <v>35</v>
      </c>
      <c r="J78" t="n">
        <v>23</v>
      </c>
      <c r="K78" t="n">
        <v>14</v>
      </c>
      <c r="L78" t="n">
        <v>36</v>
      </c>
      <c r="M78" t="n">
        <v>30</v>
      </c>
      <c r="N78">
        <f>SUM(B78:D78)</f>
        <v/>
      </c>
      <c r="O78">
        <f>SUM(E78:G78)</f>
        <v/>
      </c>
      <c r="P78">
        <f>SUM(H78:J78)</f>
        <v/>
      </c>
      <c r="Q78">
        <f>SUM(K78:M78)</f>
        <v/>
      </c>
      <c r="R78">
        <f>SUM(N78:O78)</f>
        <v/>
      </c>
      <c r="S78">
        <f>SUM(P78:Q78)</f>
        <v/>
      </c>
      <c r="T78">
        <f>R78+S78</f>
        <v/>
      </c>
    </row>
    <row r="79">
      <c r="A79" t="inlineStr">
        <is>
          <t xml:space="preserve"> 판관비_기타</t>
        </is>
      </c>
      <c r="B79" t="n">
        <v>10</v>
      </c>
      <c r="C79" t="n">
        <v>7</v>
      </c>
      <c r="D79" t="n">
        <v>6</v>
      </c>
      <c r="E79" t="n">
        <v>12</v>
      </c>
      <c r="F79" t="n">
        <v>9</v>
      </c>
      <c r="G79" t="n">
        <v>6</v>
      </c>
      <c r="H79" t="n">
        <v>15</v>
      </c>
      <c r="I79" t="n">
        <v>14</v>
      </c>
      <c r="J79" t="n">
        <v>12</v>
      </c>
      <c r="K79" t="n">
        <v>7</v>
      </c>
      <c r="L79" t="n">
        <v>18</v>
      </c>
      <c r="M79" t="n">
        <v>17</v>
      </c>
      <c r="N79">
        <f>SUM(B79:D79)</f>
        <v/>
      </c>
      <c r="O79">
        <f>SUM(E79:G79)</f>
        <v/>
      </c>
      <c r="P79">
        <f>SUM(H79:J79)</f>
        <v/>
      </c>
      <c r="Q79">
        <f>SUM(K79:M79)</f>
        <v/>
      </c>
      <c r="R79">
        <f>SUM(N79:O79)</f>
        <v/>
      </c>
      <c r="S79">
        <f>SUM(P79:Q79)</f>
        <v/>
      </c>
      <c r="T79">
        <f>R79+S79</f>
        <v/>
      </c>
    </row>
    <row r="80">
      <c r="A80" t="inlineStr">
        <is>
          <t xml:space="preserve"> 수출비용_해상운임(</t>
        </is>
      </c>
      <c r="B80" t="n">
        <v>44</v>
      </c>
      <c r="C80" t="n">
        <v>34</v>
      </c>
      <c r="D80" t="n">
        <v>22</v>
      </c>
      <c r="E80" t="n">
        <v>60</v>
      </c>
      <c r="F80" t="n">
        <v>50</v>
      </c>
      <c r="G80" t="n">
        <v>25</v>
      </c>
      <c r="H80" t="n">
        <v>60</v>
      </c>
      <c r="I80" t="n">
        <v>62</v>
      </c>
      <c r="J80" t="n">
        <v>45</v>
      </c>
      <c r="K80" t="n">
        <v>27</v>
      </c>
      <c r="L80" t="n">
        <v>70</v>
      </c>
      <c r="M80" t="n">
        <v>59</v>
      </c>
      <c r="N80">
        <f>SUM(B80:D80)</f>
        <v/>
      </c>
      <c r="O80">
        <f>SUM(E80:G80)</f>
        <v/>
      </c>
      <c r="P80">
        <f>SUM(H80:J80)</f>
        <v/>
      </c>
      <c r="Q80">
        <f>SUM(K80:M80)</f>
        <v/>
      </c>
      <c r="R80">
        <f>SUM(N80:O80)</f>
        <v/>
      </c>
      <c r="S80">
        <f>SUM(P80:Q80)</f>
        <v/>
      </c>
      <c r="T80">
        <f>R80+S80</f>
        <v/>
      </c>
    </row>
    <row r="81">
      <c r="A81" t="inlineStr">
        <is>
          <t xml:space="preserve"> 영업이익(A)</t>
        </is>
      </c>
      <c r="B81">
        <f>B41-B42</f>
        <v/>
      </c>
      <c r="C81">
        <f>C41-C42</f>
        <v/>
      </c>
      <c r="D81">
        <f>D41-D42</f>
        <v/>
      </c>
      <c r="E81">
        <f>E41-E42</f>
        <v/>
      </c>
      <c r="F81">
        <f>F41-F42</f>
        <v/>
      </c>
      <c r="G81">
        <f>G41-G42</f>
        <v/>
      </c>
      <c r="H81">
        <f>H41-H42</f>
        <v/>
      </c>
      <c r="I81">
        <f>I41-I42</f>
        <v/>
      </c>
      <c r="J81">
        <f>J41-J42</f>
        <v/>
      </c>
      <c r="K81">
        <f>K41-K42</f>
        <v/>
      </c>
      <c r="L81">
        <f>L41-L42</f>
        <v/>
      </c>
      <c r="M81">
        <f>M41-M42</f>
        <v/>
      </c>
      <c r="N81">
        <f>N41-N42</f>
        <v/>
      </c>
      <c r="O81">
        <f>O41-O42</f>
        <v/>
      </c>
      <c r="P81">
        <f>P41-P42</f>
        <v/>
      </c>
      <c r="Q81">
        <f>Q41-Q42</f>
        <v/>
      </c>
      <c r="R81">
        <f>R41-R42</f>
        <v/>
      </c>
      <c r="S81">
        <f>S41-S42</f>
        <v/>
      </c>
      <c r="T81">
        <f>T41-T42</f>
        <v/>
      </c>
    </row>
    <row r="82">
      <c r="B82">
        <f>IFERROR(B81/B5,0)</f>
        <v/>
      </c>
      <c r="C82">
        <f>IFERROR(C81/C5,0)</f>
        <v/>
      </c>
      <c r="D82">
        <f>IFERROR(D81/D5,0)</f>
        <v/>
      </c>
      <c r="E82">
        <f>IFERROR(E81/E5,0)</f>
        <v/>
      </c>
      <c r="F82">
        <f>IFERROR(F81/F5,0)</f>
        <v/>
      </c>
      <c r="G82">
        <f>IFERROR(G81/G5,0)</f>
        <v/>
      </c>
      <c r="H82">
        <f>IFERROR(H81/H5,0)</f>
        <v/>
      </c>
      <c r="I82">
        <f>IFERROR(I81/I5,0)</f>
        <v/>
      </c>
      <c r="J82">
        <f>IFERROR(J81/J5,0)</f>
        <v/>
      </c>
      <c r="K82">
        <f>IFERROR(K81/K5,0)</f>
        <v/>
      </c>
      <c r="L82">
        <f>IFERROR(L81/L5,0)</f>
        <v/>
      </c>
      <c r="M82">
        <f>IFERROR(M81/M5,0)</f>
        <v/>
      </c>
      <c r="N82">
        <f>IFERROR(N81/N5,0)</f>
        <v/>
      </c>
      <c r="O82">
        <f>IFERROR(O81/O5,0)</f>
        <v/>
      </c>
      <c r="P82">
        <f>IFERROR(P81/P5,0)</f>
        <v/>
      </c>
      <c r="Q82">
        <f>IFERROR(Q81/Q5,0)</f>
        <v/>
      </c>
      <c r="R82">
        <f>IFERROR(R81/R5,0)</f>
        <v/>
      </c>
      <c r="S82">
        <f>IFERROR(S81/S5,0)</f>
        <v/>
      </c>
      <c r="T82">
        <f>IFERROR(T81/T5,0)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 xml:space="preserve"> 1-3) 대리점 연간 손익계산서 (단위 : 백만원)</t>
        </is>
      </c>
    </row>
    <row r="2">
      <c r="T2" t="inlineStr">
        <is>
          <t>(단위 : 대, 백만원)</t>
        </is>
      </c>
    </row>
    <row r="3">
      <c r="A3" s="2" t="inlineStr">
        <is>
          <t>구분</t>
        </is>
      </c>
      <c r="B3" s="2" t="inlineStr">
        <is>
          <t>1월</t>
        </is>
      </c>
      <c r="C3" s="2" t="inlineStr">
        <is>
          <t>2월</t>
        </is>
      </c>
      <c r="D3" s="2" t="inlineStr">
        <is>
          <t>3월</t>
        </is>
      </c>
      <c r="E3" s="2" t="inlineStr">
        <is>
          <t>4월</t>
        </is>
      </c>
      <c r="F3" s="2" t="inlineStr">
        <is>
          <t>5월</t>
        </is>
      </c>
      <c r="G3" s="2" t="inlineStr">
        <is>
          <t>6월</t>
        </is>
      </c>
      <c r="H3" s="2" t="inlineStr">
        <is>
          <t>7월</t>
        </is>
      </c>
      <c r="I3" s="2" t="inlineStr">
        <is>
          <t>8월</t>
        </is>
      </c>
      <c r="J3" s="2" t="inlineStr">
        <is>
          <t>9월</t>
        </is>
      </c>
      <c r="K3" s="2" t="inlineStr">
        <is>
          <t>10월</t>
        </is>
      </c>
      <c r="L3" s="2" t="inlineStr">
        <is>
          <t>11월</t>
        </is>
      </c>
      <c r="M3" s="2" t="inlineStr">
        <is>
          <t>12월</t>
        </is>
      </c>
      <c r="N3" s="2" t="inlineStr">
        <is>
          <t>1/4분기</t>
        </is>
      </c>
      <c r="O3" s="2" t="inlineStr">
        <is>
          <t>2/4분기</t>
        </is>
      </c>
      <c r="P3" s="2" t="inlineStr">
        <is>
          <t>3/4분기</t>
        </is>
      </c>
      <c r="Q3" s="2" t="inlineStr">
        <is>
          <t>4/4분기</t>
        </is>
      </c>
      <c r="R3" s="2" t="inlineStr">
        <is>
          <t>상반기</t>
        </is>
      </c>
      <c r="S3" s="2" t="inlineStr">
        <is>
          <t>하반기</t>
        </is>
      </c>
      <c r="T3" s="2" t="inlineStr">
        <is>
          <t>총계</t>
        </is>
      </c>
    </row>
    <row r="4">
      <c r="A4" t="inlineStr">
        <is>
          <t xml:space="preserve">   매출수량</t>
        </is>
      </c>
      <c r="B4" t="n">
        <v>283891</v>
      </c>
      <c r="C4" t="n">
        <v>205681</v>
      </c>
      <c r="D4" t="n">
        <v>138403</v>
      </c>
      <c r="E4" t="n">
        <v>361792</v>
      </c>
      <c r="F4" t="n">
        <v>396229</v>
      </c>
      <c r="G4" t="n">
        <v>308732</v>
      </c>
      <c r="H4" t="n">
        <v>397798</v>
      </c>
      <c r="I4" t="n">
        <v>203475</v>
      </c>
      <c r="J4" t="n">
        <v>362263</v>
      </c>
      <c r="K4" t="n">
        <v>131008</v>
      </c>
      <c r="L4" t="n">
        <v>280153</v>
      </c>
      <c r="M4" t="n">
        <v>227423</v>
      </c>
      <c r="N4">
        <f>SUM(B4:D4)</f>
        <v/>
      </c>
      <c r="O4">
        <f>SUM(E4:G4)</f>
        <v/>
      </c>
      <c r="P4">
        <f>SUM(H4:J4)</f>
        <v/>
      </c>
      <c r="Q4">
        <f>SUM(K4:M4)</f>
        <v/>
      </c>
      <c r="R4">
        <f>SUM(N4:O4)</f>
        <v/>
      </c>
      <c r="S4">
        <f>SUM(P4:Q4)</f>
        <v/>
      </c>
      <c r="T4">
        <f>R4+S4</f>
        <v/>
      </c>
    </row>
    <row r="5">
      <c r="A5" t="inlineStr">
        <is>
          <t xml:space="preserve"> 매출액(Total)</t>
        </is>
      </c>
      <c r="B5" t="n">
        <v>22799</v>
      </c>
      <c r="C5" t="n">
        <v>25262</v>
      </c>
      <c r="D5" t="n">
        <v>12328</v>
      </c>
      <c r="E5" t="n">
        <v>24400</v>
      </c>
      <c r="F5" t="n">
        <v>18152</v>
      </c>
      <c r="G5" t="n">
        <v>20071</v>
      </c>
      <c r="H5" t="n">
        <v>29721</v>
      </c>
      <c r="I5" t="n">
        <v>16920</v>
      </c>
      <c r="J5" t="n">
        <v>15524</v>
      </c>
      <c r="K5" t="n">
        <v>16902</v>
      </c>
      <c r="L5" t="n">
        <v>28093</v>
      </c>
      <c r="M5" t="n">
        <v>18550</v>
      </c>
      <c r="N5">
        <f>SUM(B5:D5)</f>
        <v/>
      </c>
      <c r="O5">
        <f>SUM(E5:G5)</f>
        <v/>
      </c>
      <c r="P5">
        <f>SUM(H5:J5)</f>
        <v/>
      </c>
      <c r="Q5">
        <f>SUM(K5:M5)</f>
        <v/>
      </c>
      <c r="R5">
        <f>SUM(N5:O5)</f>
        <v/>
      </c>
      <c r="S5">
        <f>SUM(P5:Q5)</f>
        <v/>
      </c>
      <c r="T5">
        <f>R5+S5</f>
        <v/>
      </c>
    </row>
    <row r="6">
      <c r="A6" t="inlineStr">
        <is>
          <t xml:space="preserve"> 매출원가(A)Tot</t>
        </is>
      </c>
      <c r="B6">
        <f>SUM(B8:B40)</f>
        <v/>
      </c>
      <c r="C6">
        <f>SUM(C8:C40)</f>
        <v/>
      </c>
      <c r="D6">
        <f>SUM(D8:D40)</f>
        <v/>
      </c>
      <c r="E6">
        <f>SUM(E8:E40)</f>
        <v/>
      </c>
      <c r="F6">
        <f>SUM(F8:F40)</f>
        <v/>
      </c>
      <c r="G6">
        <f>SUM(G8:G40)</f>
        <v/>
      </c>
      <c r="H6">
        <f>SUM(H8:H40)</f>
        <v/>
      </c>
      <c r="I6">
        <f>SUM(I8:I40)</f>
        <v/>
      </c>
      <c r="J6">
        <f>SUM(J8:J40)</f>
        <v/>
      </c>
      <c r="K6">
        <f>SUM(K8:K40)</f>
        <v/>
      </c>
      <c r="L6">
        <f>SUM(L8:L40)</f>
        <v/>
      </c>
      <c r="M6">
        <f>SUM(M8:M40)</f>
        <v/>
      </c>
      <c r="N6">
        <f>SUM(B6:D6)</f>
        <v/>
      </c>
      <c r="O6">
        <f>SUM(E6:G6)</f>
        <v/>
      </c>
      <c r="P6">
        <f>SUM(H6:J6)</f>
        <v/>
      </c>
      <c r="Q6">
        <f>SUM(K6:M6)</f>
        <v/>
      </c>
      <c r="R6">
        <f>SUM(N6:O6)</f>
        <v/>
      </c>
      <c r="S6">
        <f>SUM(P6:Q6)</f>
        <v/>
      </c>
      <c r="T6">
        <f>R6+S6</f>
        <v/>
      </c>
    </row>
    <row r="7">
      <c r="B7">
        <f>IFERROR(B6/B5,0)</f>
        <v/>
      </c>
      <c r="C7">
        <f>IFERROR(C6/C5,0)</f>
        <v/>
      </c>
      <c r="D7">
        <f>IFERROR(D6/D5,0)</f>
        <v/>
      </c>
      <c r="E7">
        <f>IFERROR(E6/E5,0)</f>
        <v/>
      </c>
      <c r="F7">
        <f>IFERROR(F6/F5,0)</f>
        <v/>
      </c>
      <c r="G7">
        <f>IFERROR(G6/G5,0)</f>
        <v/>
      </c>
      <c r="H7">
        <f>IFERROR(H6/H5,0)</f>
        <v/>
      </c>
      <c r="I7">
        <f>IFERROR(I6/I5,0)</f>
        <v/>
      </c>
      <c r="J7">
        <f>IFERROR(J6/J5,0)</f>
        <v/>
      </c>
      <c r="K7">
        <f>IFERROR(K6/K5,0)</f>
        <v/>
      </c>
      <c r="L7">
        <f>IFERROR(L6/L5,0)</f>
        <v/>
      </c>
      <c r="M7">
        <f>IFERROR(M6/M5,0)</f>
        <v/>
      </c>
      <c r="N7">
        <f>IFERROR(N6/N5,0)</f>
        <v/>
      </c>
      <c r="O7">
        <f>IFERROR(O6/O5,0)</f>
        <v/>
      </c>
      <c r="P7">
        <f>IFERROR(P6/P5,0)</f>
        <v/>
      </c>
      <c r="Q7">
        <f>IFERROR(Q6/Q5,0)</f>
        <v/>
      </c>
      <c r="R7">
        <f>IFERROR(R6/R5,0)</f>
        <v/>
      </c>
      <c r="S7">
        <f>IFERROR(S6/S5,0)</f>
        <v/>
      </c>
      <c r="T7">
        <f>IFERROR(T6/T5,0)</f>
        <v/>
      </c>
    </row>
    <row r="8">
      <c r="A8" t="inlineStr">
        <is>
          <t xml:space="preserve"> 상품매출원가</t>
        </is>
      </c>
      <c r="B8" t="n">
        <v>234</v>
      </c>
      <c r="C8" t="n">
        <v>307</v>
      </c>
      <c r="D8" t="n">
        <v>146</v>
      </c>
      <c r="E8" t="n">
        <v>296</v>
      </c>
      <c r="F8" t="n">
        <v>194</v>
      </c>
      <c r="G8" t="n">
        <v>258</v>
      </c>
      <c r="H8" t="n">
        <v>393</v>
      </c>
      <c r="I8" t="n">
        <v>227</v>
      </c>
      <c r="J8" t="n">
        <v>177</v>
      </c>
      <c r="K8" t="n">
        <v>217</v>
      </c>
      <c r="L8" t="n">
        <v>327</v>
      </c>
      <c r="M8" t="n">
        <v>241</v>
      </c>
      <c r="N8">
        <f>SUM(B8:D8)</f>
        <v/>
      </c>
      <c r="O8">
        <f>SUM(E8:G8)</f>
        <v/>
      </c>
      <c r="P8">
        <f>SUM(H8:J8)</f>
        <v/>
      </c>
      <c r="Q8">
        <f>SUM(K8:M8)</f>
        <v/>
      </c>
      <c r="R8">
        <f>SUM(N8:O8)</f>
        <v/>
      </c>
      <c r="S8">
        <f>SUM(P8:Q8)</f>
        <v/>
      </c>
      <c r="T8">
        <f>R8+S8</f>
        <v/>
      </c>
    </row>
    <row r="9">
      <c r="A9" t="inlineStr">
        <is>
          <t xml:space="preserve"> 재고실사차이</t>
        </is>
      </c>
      <c r="B9" t="n">
        <v>134</v>
      </c>
      <c r="C9" t="n">
        <v>190</v>
      </c>
      <c r="D9" t="n">
        <v>95</v>
      </c>
      <c r="E9" t="n">
        <v>165</v>
      </c>
      <c r="F9" t="n">
        <v>124</v>
      </c>
      <c r="G9" t="n">
        <v>137</v>
      </c>
      <c r="H9" t="n">
        <v>204</v>
      </c>
      <c r="I9" t="n">
        <v>98</v>
      </c>
      <c r="J9" t="n">
        <v>120</v>
      </c>
      <c r="K9" t="n">
        <v>105</v>
      </c>
      <c r="L9" t="n">
        <v>172</v>
      </c>
      <c r="M9" t="n">
        <v>111</v>
      </c>
      <c r="N9">
        <f>SUM(B9:D9)</f>
        <v/>
      </c>
      <c r="O9">
        <f>SUM(E9:G9)</f>
        <v/>
      </c>
      <c r="P9">
        <f>SUM(H9:J9)</f>
        <v/>
      </c>
      <c r="Q9">
        <f>SUM(K9:M9)</f>
        <v/>
      </c>
      <c r="R9">
        <f>SUM(N9:O9)</f>
        <v/>
      </c>
      <c r="S9">
        <f>SUM(P9:Q9)</f>
        <v/>
      </c>
      <c r="T9">
        <f>R9+S9</f>
        <v/>
      </c>
    </row>
    <row r="10">
      <c r="A10" t="inlineStr">
        <is>
          <t xml:space="preserve"> 환불부채</t>
        </is>
      </c>
      <c r="B10" t="n">
        <v>151</v>
      </c>
      <c r="C10" t="n">
        <v>198</v>
      </c>
      <c r="D10" t="n">
        <v>76</v>
      </c>
      <c r="E10" t="n">
        <v>153</v>
      </c>
      <c r="F10" t="n">
        <v>138</v>
      </c>
      <c r="G10" t="n">
        <v>130</v>
      </c>
      <c r="H10" t="n">
        <v>182</v>
      </c>
      <c r="I10" t="n">
        <v>125</v>
      </c>
      <c r="J10" t="n">
        <v>114</v>
      </c>
      <c r="K10" t="n">
        <v>122</v>
      </c>
      <c r="L10" t="n">
        <v>213</v>
      </c>
      <c r="M10" t="n">
        <v>117</v>
      </c>
      <c r="N10">
        <f>SUM(B10:D10)</f>
        <v/>
      </c>
      <c r="O10">
        <f>SUM(E10:G10)</f>
        <v/>
      </c>
      <c r="P10">
        <f>SUM(H10:J10)</f>
        <v/>
      </c>
      <c r="Q10">
        <f>SUM(K10:M10)</f>
        <v/>
      </c>
      <c r="R10">
        <f>SUM(N10:O10)</f>
        <v/>
      </c>
      <c r="S10">
        <f>SUM(P10:Q10)</f>
        <v/>
      </c>
      <c r="T10">
        <f>R10+S10</f>
        <v/>
      </c>
    </row>
    <row r="11">
      <c r="A11" t="inlineStr">
        <is>
          <t xml:space="preserve"> 평가손실</t>
        </is>
      </c>
      <c r="B11" t="n">
        <v>775</v>
      </c>
      <c r="C11" t="n">
        <v>823</v>
      </c>
      <c r="D11" t="n">
        <v>326</v>
      </c>
      <c r="E11" t="n">
        <v>662</v>
      </c>
      <c r="F11" t="n">
        <v>554</v>
      </c>
      <c r="G11" t="n">
        <v>614</v>
      </c>
      <c r="H11" t="n">
        <v>849</v>
      </c>
      <c r="I11" t="n">
        <v>459</v>
      </c>
      <c r="J11" t="n">
        <v>462</v>
      </c>
      <c r="K11" t="n">
        <v>461</v>
      </c>
      <c r="L11" t="n">
        <v>883</v>
      </c>
      <c r="M11" t="n">
        <v>629</v>
      </c>
      <c r="N11">
        <f>SUM(B11:D11)</f>
        <v/>
      </c>
      <c r="O11">
        <f>SUM(E11:G11)</f>
        <v/>
      </c>
      <c r="P11">
        <f>SUM(H11:J11)</f>
        <v/>
      </c>
      <c r="Q11">
        <f>SUM(K11:M11)</f>
        <v/>
      </c>
      <c r="R11">
        <f>SUM(N11:O11)</f>
        <v/>
      </c>
      <c r="S11">
        <f>SUM(P11:Q11)</f>
        <v/>
      </c>
      <c r="T11">
        <f>R11+S11</f>
        <v/>
      </c>
    </row>
    <row r="12">
      <c r="A12" t="inlineStr">
        <is>
          <t xml:space="preserve"> 관세환급</t>
        </is>
      </c>
      <c r="B12" t="n">
        <v>520</v>
      </c>
      <c r="C12" t="n">
        <v>659</v>
      </c>
      <c r="D12" t="n">
        <v>338</v>
      </c>
      <c r="E12" t="n">
        <v>560</v>
      </c>
      <c r="F12" t="n">
        <v>508</v>
      </c>
      <c r="G12" t="n">
        <v>579</v>
      </c>
      <c r="H12" t="n">
        <v>733</v>
      </c>
      <c r="I12" t="n">
        <v>421</v>
      </c>
      <c r="J12" t="n">
        <v>436</v>
      </c>
      <c r="K12" t="n">
        <v>435</v>
      </c>
      <c r="L12" t="n">
        <v>694</v>
      </c>
      <c r="M12" t="n">
        <v>536</v>
      </c>
      <c r="N12">
        <f>SUM(B12:D12)</f>
        <v/>
      </c>
      <c r="O12">
        <f>SUM(E12:G12)</f>
        <v/>
      </c>
      <c r="P12">
        <f>SUM(H12:J12)</f>
        <v/>
      </c>
      <c r="Q12">
        <f>SUM(K12:M12)</f>
        <v/>
      </c>
      <c r="R12">
        <f>SUM(N12:O12)</f>
        <v/>
      </c>
      <c r="S12">
        <f>SUM(P12:Q12)</f>
        <v/>
      </c>
      <c r="T12">
        <f>R12+S12</f>
        <v/>
      </c>
    </row>
    <row r="13">
      <c r="A13" t="inlineStr">
        <is>
          <t xml:space="preserve"> 매출원가조정기타</t>
        </is>
      </c>
      <c r="B13" t="n">
        <v>384</v>
      </c>
      <c r="C13" t="n">
        <v>374</v>
      </c>
      <c r="D13" t="n">
        <v>177</v>
      </c>
      <c r="E13" t="n">
        <v>360</v>
      </c>
      <c r="F13" t="n">
        <v>277</v>
      </c>
      <c r="G13" t="n">
        <v>357</v>
      </c>
      <c r="H13" t="n">
        <v>504</v>
      </c>
      <c r="I13" t="n">
        <v>296</v>
      </c>
      <c r="J13" t="n">
        <v>264</v>
      </c>
      <c r="K13" t="n">
        <v>290</v>
      </c>
      <c r="L13" t="n">
        <v>378</v>
      </c>
      <c r="M13" t="n">
        <v>290</v>
      </c>
      <c r="N13">
        <f>SUM(B13:D13)</f>
        <v/>
      </c>
      <c r="O13">
        <f>SUM(E13:G13)</f>
        <v/>
      </c>
      <c r="P13">
        <f>SUM(H13:J13)</f>
        <v/>
      </c>
      <c r="Q13">
        <f>SUM(K13:M13)</f>
        <v/>
      </c>
      <c r="R13">
        <f>SUM(N13:O13)</f>
        <v/>
      </c>
      <c r="S13">
        <f>SUM(P13:Q13)</f>
        <v/>
      </c>
      <c r="T13">
        <f>R13+S13</f>
        <v/>
      </c>
    </row>
    <row r="14">
      <c r="A14" t="inlineStr">
        <is>
          <t xml:space="preserve"> 원재료비_순연</t>
        </is>
      </c>
      <c r="B14" t="n">
        <v>324</v>
      </c>
      <c r="C14" t="n">
        <v>357</v>
      </c>
      <c r="D14" t="n">
        <v>142</v>
      </c>
      <c r="E14" t="n">
        <v>298</v>
      </c>
      <c r="F14" t="n">
        <v>236</v>
      </c>
      <c r="G14" t="n">
        <v>240</v>
      </c>
      <c r="H14" t="n">
        <v>375</v>
      </c>
      <c r="I14" t="n">
        <v>184</v>
      </c>
      <c r="J14" t="n">
        <v>190</v>
      </c>
      <c r="K14" t="n">
        <v>211</v>
      </c>
      <c r="L14" t="n">
        <v>300</v>
      </c>
      <c r="M14" t="n">
        <v>207</v>
      </c>
      <c r="N14">
        <f>SUM(B14:D14)</f>
        <v/>
      </c>
      <c r="O14">
        <f>SUM(E14:G14)</f>
        <v/>
      </c>
      <c r="P14">
        <f>SUM(H14:J14)</f>
        <v/>
      </c>
      <c r="Q14">
        <f>SUM(K14:M14)</f>
        <v/>
      </c>
      <c r="R14">
        <f>SUM(N14:O14)</f>
        <v/>
      </c>
      <c r="S14">
        <f>SUM(P14:Q14)</f>
        <v/>
      </c>
      <c r="T14">
        <f>R14+S14</f>
        <v/>
      </c>
    </row>
    <row r="15">
      <c r="A15" t="inlineStr">
        <is>
          <t xml:space="preserve"> 원재료(LOSS_순연)</t>
        </is>
      </c>
      <c r="B15" t="n">
        <v>801</v>
      </c>
      <c r="C15" t="n">
        <v>842</v>
      </c>
      <c r="D15" t="n">
        <v>429</v>
      </c>
      <c r="E15" t="n">
        <v>781</v>
      </c>
      <c r="F15" t="n">
        <v>611</v>
      </c>
      <c r="G15" t="n">
        <v>689</v>
      </c>
      <c r="H15" t="n">
        <v>1020</v>
      </c>
      <c r="I15" t="n">
        <v>448</v>
      </c>
      <c r="J15" t="n">
        <v>498</v>
      </c>
      <c r="K15" t="n">
        <v>484</v>
      </c>
      <c r="L15" t="n">
        <v>911</v>
      </c>
      <c r="M15" t="n">
        <v>532</v>
      </c>
      <c r="N15">
        <f>SUM(B15:D15)</f>
        <v/>
      </c>
      <c r="O15">
        <f>SUM(E15:G15)</f>
        <v/>
      </c>
      <c r="P15">
        <f>SUM(H15:J15)</f>
        <v/>
      </c>
      <c r="Q15">
        <f>SUM(K15:M15)</f>
        <v/>
      </c>
      <c r="R15">
        <f>SUM(N15:O15)</f>
        <v/>
      </c>
      <c r="S15">
        <f>SUM(P15:Q15)</f>
        <v/>
      </c>
      <c r="T15">
        <f>R15+S15</f>
        <v/>
      </c>
    </row>
    <row r="16">
      <c r="A16" t="inlineStr">
        <is>
          <t xml:space="preserve"> 원재료비_경연</t>
        </is>
      </c>
      <c r="B16" t="n">
        <v>810</v>
      </c>
      <c r="C16" t="n">
        <v>999</v>
      </c>
      <c r="D16" t="n">
        <v>448</v>
      </c>
      <c r="E16" t="n">
        <v>792</v>
      </c>
      <c r="F16" t="n">
        <v>640</v>
      </c>
      <c r="G16" t="n">
        <v>690</v>
      </c>
      <c r="H16" t="n">
        <v>1183</v>
      </c>
      <c r="I16" t="n">
        <v>556</v>
      </c>
      <c r="J16" t="n">
        <v>513</v>
      </c>
      <c r="K16" t="n">
        <v>619</v>
      </c>
      <c r="L16" t="n">
        <v>873</v>
      </c>
      <c r="M16" t="n">
        <v>669</v>
      </c>
      <c r="N16">
        <f>SUM(B16:D16)</f>
        <v/>
      </c>
      <c r="O16">
        <f>SUM(E16:G16)</f>
        <v/>
      </c>
      <c r="P16">
        <f>SUM(H16:J16)</f>
        <v/>
      </c>
      <c r="Q16">
        <f>SUM(K16:M16)</f>
        <v/>
      </c>
      <c r="R16">
        <f>SUM(N16:O16)</f>
        <v/>
      </c>
      <c r="S16">
        <f>SUM(P16:Q16)</f>
        <v/>
      </c>
      <c r="T16">
        <f>R16+S16</f>
        <v/>
      </c>
    </row>
    <row r="17">
      <c r="A17" t="inlineStr">
        <is>
          <t xml:space="preserve"> 원재료(LOSS_경연)</t>
        </is>
      </c>
      <c r="B17" t="n">
        <v>1030</v>
      </c>
      <c r="C17" t="n">
        <v>1008</v>
      </c>
      <c r="D17" t="n">
        <v>456</v>
      </c>
      <c r="E17" t="n">
        <v>960</v>
      </c>
      <c r="F17" t="n">
        <v>729</v>
      </c>
      <c r="G17" t="n">
        <v>713</v>
      </c>
      <c r="H17" t="n">
        <v>1048</v>
      </c>
      <c r="I17" t="n">
        <v>598</v>
      </c>
      <c r="J17" t="n">
        <v>579</v>
      </c>
      <c r="K17" t="n">
        <v>653</v>
      </c>
      <c r="L17" t="n">
        <v>1046</v>
      </c>
      <c r="M17" t="n">
        <v>680</v>
      </c>
      <c r="N17">
        <f>SUM(B17:D17)</f>
        <v/>
      </c>
      <c r="O17">
        <f>SUM(E17:G17)</f>
        <v/>
      </c>
      <c r="P17">
        <f>SUM(H17:J17)</f>
        <v/>
      </c>
      <c r="Q17">
        <f>SUM(K17:M17)</f>
        <v/>
      </c>
      <c r="R17">
        <f>SUM(N17:O17)</f>
        <v/>
      </c>
      <c r="S17">
        <f>SUM(P17:Q17)</f>
        <v/>
      </c>
      <c r="T17">
        <f>R17+S17</f>
        <v/>
      </c>
    </row>
    <row r="18">
      <c r="A18" t="inlineStr">
        <is>
          <t xml:space="preserve"> 원재료비_칼슘연</t>
        </is>
      </c>
      <c r="B18" t="n">
        <v>588</v>
      </c>
      <c r="C18" t="n">
        <v>754</v>
      </c>
      <c r="D18" t="n">
        <v>400</v>
      </c>
      <c r="E18" t="n">
        <v>742</v>
      </c>
      <c r="F18" t="n">
        <v>546</v>
      </c>
      <c r="G18" t="n">
        <v>618</v>
      </c>
      <c r="H18" t="n">
        <v>797</v>
      </c>
      <c r="I18" t="n">
        <v>530</v>
      </c>
      <c r="J18" t="n">
        <v>452</v>
      </c>
      <c r="K18" t="n">
        <v>505</v>
      </c>
      <c r="L18" t="n">
        <v>855</v>
      </c>
      <c r="M18" t="n">
        <v>541</v>
      </c>
      <c r="N18">
        <f>SUM(B18:D18)</f>
        <v/>
      </c>
      <c r="O18">
        <f>SUM(E18:G18)</f>
        <v/>
      </c>
      <c r="P18">
        <f>SUM(H18:J18)</f>
        <v/>
      </c>
      <c r="Q18">
        <f>SUM(K18:M18)</f>
        <v/>
      </c>
      <c r="R18">
        <f>SUM(N18:O18)</f>
        <v/>
      </c>
      <c r="S18">
        <f>SUM(P18:Q18)</f>
        <v/>
      </c>
      <c r="T18">
        <f>R18+S18</f>
        <v/>
      </c>
    </row>
    <row r="19">
      <c r="A19" t="inlineStr">
        <is>
          <t xml:space="preserve"> 원재료(LOSS_칼슘연)</t>
        </is>
      </c>
      <c r="B19" t="n">
        <v>265</v>
      </c>
      <c r="C19" t="n">
        <v>287</v>
      </c>
      <c r="D19" t="n">
        <v>139</v>
      </c>
      <c r="E19" t="n">
        <v>302</v>
      </c>
      <c r="F19" t="n">
        <v>216</v>
      </c>
      <c r="G19" t="n">
        <v>254</v>
      </c>
      <c r="H19" t="n">
        <v>313</v>
      </c>
      <c r="I19" t="n">
        <v>199</v>
      </c>
      <c r="J19" t="n">
        <v>212</v>
      </c>
      <c r="K19" t="n">
        <v>192</v>
      </c>
      <c r="L19" t="n">
        <v>352</v>
      </c>
      <c r="M19" t="n">
        <v>228</v>
      </c>
      <c r="N19">
        <f>SUM(B19:D19)</f>
        <v/>
      </c>
      <c r="O19">
        <f>SUM(E19:G19)</f>
        <v/>
      </c>
      <c r="P19">
        <f>SUM(H19:J19)</f>
        <v/>
      </c>
      <c r="Q19">
        <f>SUM(K19:M19)</f>
        <v/>
      </c>
      <c r="R19">
        <f>SUM(N19:O19)</f>
        <v/>
      </c>
      <c r="S19">
        <f>SUM(P19:Q19)</f>
        <v/>
      </c>
      <c r="T19">
        <f>R19+S19</f>
        <v/>
      </c>
    </row>
    <row r="20">
      <c r="A20" t="inlineStr">
        <is>
          <t xml:space="preserve"> 원재료비_니켈(A)</t>
        </is>
      </c>
      <c r="B20" t="n">
        <v>132</v>
      </c>
      <c r="C20" t="n">
        <v>179</v>
      </c>
      <c r="D20" t="n">
        <v>71</v>
      </c>
      <c r="E20" t="n">
        <v>163</v>
      </c>
      <c r="F20" t="n">
        <v>101</v>
      </c>
      <c r="G20" t="n">
        <v>108</v>
      </c>
      <c r="H20" t="n">
        <v>204</v>
      </c>
      <c r="I20" t="n">
        <v>103</v>
      </c>
      <c r="J20" t="n">
        <v>83</v>
      </c>
      <c r="K20" t="n">
        <v>101</v>
      </c>
      <c r="L20" t="n">
        <v>170</v>
      </c>
      <c r="M20" t="n">
        <v>123</v>
      </c>
      <c r="N20">
        <f>SUM(B20:D20)</f>
        <v/>
      </c>
      <c r="O20">
        <f>SUM(E20:G20)</f>
        <v/>
      </c>
      <c r="P20">
        <f>SUM(H20:J20)</f>
        <v/>
      </c>
      <c r="Q20">
        <f>SUM(K20:M20)</f>
        <v/>
      </c>
      <c r="R20">
        <f>SUM(N20:O20)</f>
        <v/>
      </c>
      <c r="S20">
        <f>SUM(P20:Q20)</f>
        <v/>
      </c>
      <c r="T20">
        <f>R20+S20</f>
        <v/>
      </c>
    </row>
    <row r="21">
      <c r="A21" t="inlineStr">
        <is>
          <t xml:space="preserve"> 원재료비_리튬(A)</t>
        </is>
      </c>
      <c r="B21" t="n">
        <v>728</v>
      </c>
      <c r="C21" t="n">
        <v>839</v>
      </c>
      <c r="D21" t="n">
        <v>508</v>
      </c>
      <c r="E21" t="n">
        <v>946</v>
      </c>
      <c r="F21" t="n">
        <v>589</v>
      </c>
      <c r="G21" t="n">
        <v>691</v>
      </c>
      <c r="H21" t="n">
        <v>1028</v>
      </c>
      <c r="I21" t="n">
        <v>645</v>
      </c>
      <c r="J21" t="n">
        <v>581</v>
      </c>
      <c r="K21" t="n">
        <v>676</v>
      </c>
      <c r="L21" t="n">
        <v>1115</v>
      </c>
      <c r="M21" t="n">
        <v>675</v>
      </c>
      <c r="N21">
        <f>SUM(B21:D21)</f>
        <v/>
      </c>
      <c r="O21">
        <f>SUM(E21:G21)</f>
        <v/>
      </c>
      <c r="P21">
        <f>SUM(H21:J21)</f>
        <v/>
      </c>
      <c r="Q21">
        <f>SUM(K21:M21)</f>
        <v/>
      </c>
      <c r="R21">
        <f>SUM(N21:O21)</f>
        <v/>
      </c>
      <c r="S21">
        <f>SUM(P21:Q21)</f>
        <v/>
      </c>
      <c r="T21">
        <f>R21+S21</f>
        <v/>
      </c>
    </row>
    <row r="22">
      <c r="A22" t="inlineStr">
        <is>
          <t xml:space="preserve"> 주재료비_전조(A)</t>
        </is>
      </c>
      <c r="B22" t="n">
        <v>527</v>
      </c>
      <c r="C22" t="n">
        <v>585</v>
      </c>
      <c r="D22" t="n">
        <v>287</v>
      </c>
      <c r="E22" t="n">
        <v>523</v>
      </c>
      <c r="F22" t="n">
        <v>425</v>
      </c>
      <c r="G22" t="n">
        <v>460</v>
      </c>
      <c r="H22" t="n">
        <v>721</v>
      </c>
      <c r="I22" t="n">
        <v>324</v>
      </c>
      <c r="J22" t="n">
        <v>372</v>
      </c>
      <c r="K22" t="n">
        <v>311</v>
      </c>
      <c r="L22" t="n">
        <v>655</v>
      </c>
      <c r="M22" t="n">
        <v>411</v>
      </c>
      <c r="N22">
        <f>SUM(B22:D22)</f>
        <v/>
      </c>
      <c r="O22">
        <f>SUM(E22:G22)</f>
        <v/>
      </c>
      <c r="P22">
        <f>SUM(H22:J22)</f>
        <v/>
      </c>
      <c r="Q22">
        <f>SUM(K22:M22)</f>
        <v/>
      </c>
      <c r="R22">
        <f>SUM(N22:O22)</f>
        <v/>
      </c>
      <c r="S22">
        <f>SUM(P22:Q22)</f>
        <v/>
      </c>
      <c r="T22">
        <f>R22+S22</f>
        <v/>
      </c>
    </row>
    <row r="23">
      <c r="A23" t="inlineStr">
        <is>
          <t xml:space="preserve"> 주재료비_카바(A)</t>
        </is>
      </c>
      <c r="B23" t="n">
        <v>813</v>
      </c>
      <c r="C23" t="n">
        <v>1027</v>
      </c>
      <c r="D23" t="n">
        <v>450</v>
      </c>
      <c r="E23" t="n">
        <v>849</v>
      </c>
      <c r="F23" t="n">
        <v>703</v>
      </c>
      <c r="G23" t="n">
        <v>797</v>
      </c>
      <c r="H23" t="n">
        <v>1095</v>
      </c>
      <c r="I23" t="n">
        <v>582</v>
      </c>
      <c r="J23" t="n">
        <v>546</v>
      </c>
      <c r="K23" t="n">
        <v>596</v>
      </c>
      <c r="L23" t="n">
        <v>1070</v>
      </c>
      <c r="M23" t="n">
        <v>621</v>
      </c>
      <c r="N23">
        <f>SUM(B23:D23)</f>
        <v/>
      </c>
      <c r="O23">
        <f>SUM(E23:G23)</f>
        <v/>
      </c>
      <c r="P23">
        <f>SUM(H23:J23)</f>
        <v/>
      </c>
      <c r="Q23">
        <f>SUM(K23:M23)</f>
        <v/>
      </c>
      <c r="R23">
        <f>SUM(N23:O23)</f>
        <v/>
      </c>
      <c r="S23">
        <f>SUM(P23:Q23)</f>
        <v/>
      </c>
      <c r="T23">
        <f>R23+S23</f>
        <v/>
      </c>
    </row>
    <row r="24">
      <c r="A24" t="inlineStr">
        <is>
          <t xml:space="preserve"> 주재료비_격리판(A</t>
        </is>
      </c>
      <c r="B24" t="n">
        <v>126</v>
      </c>
      <c r="C24" t="n">
        <v>147</v>
      </c>
      <c r="D24" t="n">
        <v>68</v>
      </c>
      <c r="E24" t="n">
        <v>132</v>
      </c>
      <c r="F24" t="n">
        <v>113</v>
      </c>
      <c r="G24" t="n">
        <v>127</v>
      </c>
      <c r="H24" t="n">
        <v>170</v>
      </c>
      <c r="I24" t="n">
        <v>95</v>
      </c>
      <c r="J24" t="n">
        <v>80</v>
      </c>
      <c r="K24" t="n">
        <v>91</v>
      </c>
      <c r="L24" t="n">
        <v>143</v>
      </c>
      <c r="M24" t="n">
        <v>108</v>
      </c>
      <c r="N24">
        <f>SUM(B24:D24)</f>
        <v/>
      </c>
      <c r="O24">
        <f>SUM(E24:G24)</f>
        <v/>
      </c>
      <c r="P24">
        <f>SUM(H24:J24)</f>
        <v/>
      </c>
      <c r="Q24">
        <f>SUM(K24:M24)</f>
        <v/>
      </c>
      <c r="R24">
        <f>SUM(N24:O24)</f>
        <v/>
      </c>
      <c r="S24">
        <f>SUM(P24:Q24)</f>
        <v/>
      </c>
      <c r="T24">
        <f>R24+S24</f>
        <v/>
      </c>
    </row>
    <row r="25">
      <c r="A25" t="inlineStr">
        <is>
          <t xml:space="preserve"> 부재료비(A)</t>
        </is>
      </c>
      <c r="B25" t="n">
        <v>927</v>
      </c>
      <c r="C25" t="n">
        <v>879</v>
      </c>
      <c r="D25" t="n">
        <v>551</v>
      </c>
      <c r="E25" t="n">
        <v>917</v>
      </c>
      <c r="F25" t="n">
        <v>795</v>
      </c>
      <c r="G25" t="n">
        <v>878</v>
      </c>
      <c r="H25" t="n">
        <v>1342</v>
      </c>
      <c r="I25" t="n">
        <v>612</v>
      </c>
      <c r="J25" t="n">
        <v>603</v>
      </c>
      <c r="K25" t="n">
        <v>754</v>
      </c>
      <c r="L25" t="n">
        <v>952</v>
      </c>
      <c r="M25" t="n">
        <v>636</v>
      </c>
      <c r="N25">
        <f>SUM(B25:D25)</f>
        <v/>
      </c>
      <c r="O25">
        <f>SUM(E25:G25)</f>
        <v/>
      </c>
      <c r="P25">
        <f>SUM(H25:J25)</f>
        <v/>
      </c>
      <c r="Q25">
        <f>SUM(K25:M25)</f>
        <v/>
      </c>
      <c r="R25">
        <f>SUM(N25:O25)</f>
        <v/>
      </c>
      <c r="S25">
        <f>SUM(P25:Q25)</f>
        <v/>
      </c>
      <c r="T25">
        <f>R25+S25</f>
        <v/>
      </c>
    </row>
    <row r="26">
      <c r="A26" t="inlineStr">
        <is>
          <t xml:space="preserve"> 포장비(A)</t>
        </is>
      </c>
      <c r="B26" t="n">
        <v>425</v>
      </c>
      <c r="C26" t="n">
        <v>462</v>
      </c>
      <c r="D26" t="n">
        <v>254</v>
      </c>
      <c r="E26" t="n">
        <v>483</v>
      </c>
      <c r="F26" t="n">
        <v>336</v>
      </c>
      <c r="G26" t="n">
        <v>422</v>
      </c>
      <c r="H26" t="n">
        <v>547</v>
      </c>
      <c r="I26" t="n">
        <v>311</v>
      </c>
      <c r="J26" t="n">
        <v>300</v>
      </c>
      <c r="K26" t="n">
        <v>299</v>
      </c>
      <c r="L26" t="n">
        <v>492</v>
      </c>
      <c r="M26" t="n">
        <v>349</v>
      </c>
      <c r="N26">
        <f>SUM(B26:D26)</f>
        <v/>
      </c>
      <c r="O26">
        <f>SUM(E26:G26)</f>
        <v/>
      </c>
      <c r="P26">
        <f>SUM(H26:J26)</f>
        <v/>
      </c>
      <c r="Q26">
        <f>SUM(K26:M26)</f>
        <v/>
      </c>
      <c r="R26">
        <f>SUM(N26:O26)</f>
        <v/>
      </c>
      <c r="S26">
        <f>SUM(P26:Q26)</f>
        <v/>
      </c>
      <c r="T26">
        <f>R26+S26</f>
        <v/>
      </c>
    </row>
    <row r="27">
      <c r="A27" t="inlineStr">
        <is>
          <t xml:space="preserve"> 부대품재료비(A)</t>
        </is>
      </c>
      <c r="B27" t="n">
        <v>895</v>
      </c>
      <c r="C27" t="n">
        <v>1178</v>
      </c>
      <c r="D27" t="n">
        <v>534</v>
      </c>
      <c r="E27" t="n">
        <v>1011</v>
      </c>
      <c r="F27" t="n">
        <v>656</v>
      </c>
      <c r="G27" t="n">
        <v>794</v>
      </c>
      <c r="H27" t="n">
        <v>1185</v>
      </c>
      <c r="I27" t="n">
        <v>708</v>
      </c>
      <c r="J27" t="n">
        <v>652</v>
      </c>
      <c r="K27" t="n">
        <v>774</v>
      </c>
      <c r="L27" t="n">
        <v>1316</v>
      </c>
      <c r="M27" t="n">
        <v>759</v>
      </c>
      <c r="N27">
        <f>SUM(B27:D27)</f>
        <v/>
      </c>
      <c r="O27">
        <f>SUM(E27:G27)</f>
        <v/>
      </c>
      <c r="P27">
        <f>SUM(H27:J27)</f>
        <v/>
      </c>
      <c r="Q27">
        <f>SUM(K27:M27)</f>
        <v/>
      </c>
      <c r="R27">
        <f>SUM(N27:O27)</f>
        <v/>
      </c>
      <c r="S27">
        <f>SUM(P27:Q27)</f>
        <v/>
      </c>
      <c r="T27">
        <f>R27+S27</f>
        <v/>
      </c>
    </row>
    <row r="28">
      <c r="A28" t="inlineStr">
        <is>
          <t xml:space="preserve"> 부산물공제(A)</t>
        </is>
      </c>
      <c r="B28" t="n">
        <v>943</v>
      </c>
      <c r="C28" t="n">
        <v>1104</v>
      </c>
      <c r="D28" t="n">
        <v>597</v>
      </c>
      <c r="E28" t="n">
        <v>979</v>
      </c>
      <c r="F28" t="n">
        <v>772</v>
      </c>
      <c r="G28" t="n">
        <v>926</v>
      </c>
      <c r="H28" t="n">
        <v>1128</v>
      </c>
      <c r="I28" t="n">
        <v>674</v>
      </c>
      <c r="J28" t="n">
        <v>748</v>
      </c>
      <c r="K28" t="n">
        <v>782</v>
      </c>
      <c r="L28" t="n">
        <v>1188</v>
      </c>
      <c r="M28" t="n">
        <v>690</v>
      </c>
      <c r="N28">
        <f>SUM(B28:D28)</f>
        <v/>
      </c>
      <c r="O28">
        <f>SUM(E28:G28)</f>
        <v/>
      </c>
      <c r="P28">
        <f>SUM(H28:J28)</f>
        <v/>
      </c>
      <c r="Q28">
        <f>SUM(K28:M28)</f>
        <v/>
      </c>
      <c r="R28">
        <f>SUM(N28:O28)</f>
        <v/>
      </c>
      <c r="S28">
        <f>SUM(P28:Q28)</f>
        <v/>
      </c>
      <c r="T28">
        <f>R28+S28</f>
        <v/>
      </c>
    </row>
    <row r="29">
      <c r="A29" t="inlineStr">
        <is>
          <t xml:space="preserve"> 변동직접노무비(A)</t>
        </is>
      </c>
      <c r="B29" t="n">
        <v>648</v>
      </c>
      <c r="C29" t="n">
        <v>678</v>
      </c>
      <c r="D29" t="n">
        <v>343</v>
      </c>
      <c r="E29" t="n">
        <v>711</v>
      </c>
      <c r="F29" t="n">
        <v>515</v>
      </c>
      <c r="G29" t="n">
        <v>498</v>
      </c>
      <c r="H29" t="n">
        <v>677</v>
      </c>
      <c r="I29" t="n">
        <v>403</v>
      </c>
      <c r="J29" t="n">
        <v>396</v>
      </c>
      <c r="K29" t="n">
        <v>430</v>
      </c>
      <c r="L29" t="n">
        <v>647</v>
      </c>
      <c r="M29" t="n">
        <v>426</v>
      </c>
      <c r="N29">
        <f>SUM(B29:D29)</f>
        <v/>
      </c>
      <c r="O29">
        <f>SUM(E29:G29)</f>
        <v/>
      </c>
      <c r="P29">
        <f>SUM(H29:J29)</f>
        <v/>
      </c>
      <c r="Q29">
        <f>SUM(K29:M29)</f>
        <v/>
      </c>
      <c r="R29">
        <f>SUM(N29:O29)</f>
        <v/>
      </c>
      <c r="S29">
        <f>SUM(P29:Q29)</f>
        <v/>
      </c>
      <c r="T29">
        <f>R29+S29</f>
        <v/>
      </c>
    </row>
    <row r="30">
      <c r="A30" t="inlineStr">
        <is>
          <t xml:space="preserve"> 변동경비(A)</t>
        </is>
      </c>
      <c r="B30" t="n">
        <v>93</v>
      </c>
      <c r="C30" t="n">
        <v>102</v>
      </c>
      <c r="D30" t="n">
        <v>46</v>
      </c>
      <c r="E30" t="n">
        <v>110</v>
      </c>
      <c r="F30" t="n">
        <v>74</v>
      </c>
      <c r="G30" t="n">
        <v>68</v>
      </c>
      <c r="H30" t="n">
        <v>113</v>
      </c>
      <c r="I30" t="n">
        <v>72</v>
      </c>
      <c r="J30" t="n">
        <v>57</v>
      </c>
      <c r="K30" t="n">
        <v>70</v>
      </c>
      <c r="L30" t="n">
        <v>93</v>
      </c>
      <c r="M30" t="n">
        <v>68</v>
      </c>
      <c r="N30">
        <f>SUM(B30:D30)</f>
        <v/>
      </c>
      <c r="O30">
        <f>SUM(E30:G30)</f>
        <v/>
      </c>
      <c r="P30">
        <f>SUM(H30:J30)</f>
        <v/>
      </c>
      <c r="Q30">
        <f>SUM(K30:M30)</f>
        <v/>
      </c>
      <c r="R30">
        <f>SUM(N30:O30)</f>
        <v/>
      </c>
      <c r="S30">
        <f>SUM(P30:Q30)</f>
        <v/>
      </c>
      <c r="T30">
        <f>R30+S30</f>
        <v/>
      </c>
    </row>
    <row r="31">
      <c r="A31" t="inlineStr">
        <is>
          <t xml:space="preserve"> 고정직접노무비(A)</t>
        </is>
      </c>
      <c r="B31" t="n">
        <v>1111</v>
      </c>
      <c r="C31" t="n">
        <v>1145</v>
      </c>
      <c r="D31" t="n">
        <v>572</v>
      </c>
      <c r="E31" t="n">
        <v>980</v>
      </c>
      <c r="F31" t="n">
        <v>801</v>
      </c>
      <c r="G31" t="n">
        <v>901</v>
      </c>
      <c r="H31" t="n">
        <v>1221</v>
      </c>
      <c r="I31" t="n">
        <v>780</v>
      </c>
      <c r="J31" t="n">
        <v>692</v>
      </c>
      <c r="K31" t="n">
        <v>858</v>
      </c>
      <c r="L31" t="n">
        <v>1269</v>
      </c>
      <c r="M31" t="n">
        <v>798</v>
      </c>
      <c r="N31">
        <f>SUM(B31:D31)</f>
        <v/>
      </c>
      <c r="O31">
        <f>SUM(E31:G31)</f>
        <v/>
      </c>
      <c r="P31">
        <f>SUM(H31:J31)</f>
        <v/>
      </c>
      <c r="Q31">
        <f>SUM(K31:M31)</f>
        <v/>
      </c>
      <c r="R31">
        <f>SUM(N31:O31)</f>
        <v/>
      </c>
      <c r="S31">
        <f>SUM(P31:Q31)</f>
        <v/>
      </c>
      <c r="T31">
        <f>R31+S31</f>
        <v/>
      </c>
    </row>
    <row r="32">
      <c r="A32" t="inlineStr">
        <is>
          <t xml:space="preserve"> 간접노무비(A)</t>
        </is>
      </c>
      <c r="B32" t="n">
        <v>498</v>
      </c>
      <c r="C32" t="n">
        <v>559</v>
      </c>
      <c r="D32" t="n">
        <v>328</v>
      </c>
      <c r="E32" t="n">
        <v>531</v>
      </c>
      <c r="F32" t="n">
        <v>394</v>
      </c>
      <c r="G32" t="n">
        <v>446</v>
      </c>
      <c r="H32" t="n">
        <v>738</v>
      </c>
      <c r="I32" t="n">
        <v>458</v>
      </c>
      <c r="J32" t="n">
        <v>396</v>
      </c>
      <c r="K32" t="n">
        <v>455</v>
      </c>
      <c r="L32" t="n">
        <v>602</v>
      </c>
      <c r="M32" t="n">
        <v>391</v>
      </c>
      <c r="N32">
        <f>SUM(B32:D32)</f>
        <v/>
      </c>
      <c r="O32">
        <f>SUM(E32:G32)</f>
        <v/>
      </c>
      <c r="P32">
        <f>SUM(H32:J32)</f>
        <v/>
      </c>
      <c r="Q32">
        <f>SUM(K32:M32)</f>
        <v/>
      </c>
      <c r="R32">
        <f>SUM(N32:O32)</f>
        <v/>
      </c>
      <c r="S32">
        <f>SUM(P32:Q32)</f>
        <v/>
      </c>
      <c r="T32">
        <f>R32+S32</f>
        <v/>
      </c>
    </row>
    <row r="33">
      <c r="A33" t="inlineStr">
        <is>
          <t xml:space="preserve"> 고정경비(A)</t>
        </is>
      </c>
      <c r="B33" t="n">
        <v>1047</v>
      </c>
      <c r="C33" t="n">
        <v>1016</v>
      </c>
      <c r="D33" t="n">
        <v>557</v>
      </c>
      <c r="E33" t="n">
        <v>991</v>
      </c>
      <c r="F33" t="n">
        <v>694</v>
      </c>
      <c r="G33" t="n">
        <v>793</v>
      </c>
      <c r="H33" t="n">
        <v>1110</v>
      </c>
      <c r="I33" t="n">
        <v>805</v>
      </c>
      <c r="J33" t="n">
        <v>675</v>
      </c>
      <c r="K33" t="n">
        <v>685</v>
      </c>
      <c r="L33" t="n">
        <v>1175</v>
      </c>
      <c r="M33" t="n">
        <v>761</v>
      </c>
      <c r="N33">
        <f>SUM(B33:D33)</f>
        <v/>
      </c>
      <c r="O33">
        <f>SUM(E33:G33)</f>
        <v/>
      </c>
      <c r="P33">
        <f>SUM(H33:J33)</f>
        <v/>
      </c>
      <c r="Q33">
        <f>SUM(K33:M33)</f>
        <v/>
      </c>
      <c r="R33">
        <f>SUM(N33:O33)</f>
        <v/>
      </c>
      <c r="S33">
        <f>SUM(P33:Q33)</f>
        <v/>
      </c>
      <c r="T33">
        <f>R33+S33</f>
        <v/>
      </c>
    </row>
    <row r="34">
      <c r="A34" t="inlineStr">
        <is>
          <t xml:space="preserve"> 외주가공비(A)</t>
        </is>
      </c>
      <c r="B34" t="n">
        <v>300</v>
      </c>
      <c r="C34" t="n">
        <v>429</v>
      </c>
      <c r="D34" t="n">
        <v>192</v>
      </c>
      <c r="E34" t="n">
        <v>422</v>
      </c>
      <c r="F34" t="n">
        <v>271</v>
      </c>
      <c r="G34" t="n">
        <v>316</v>
      </c>
      <c r="H34" t="n">
        <v>418</v>
      </c>
      <c r="I34" t="n">
        <v>222</v>
      </c>
      <c r="J34" t="n">
        <v>266</v>
      </c>
      <c r="K34" t="n">
        <v>284</v>
      </c>
      <c r="L34" t="n">
        <v>403</v>
      </c>
      <c r="M34" t="n">
        <v>316</v>
      </c>
      <c r="N34">
        <f>SUM(B34:D34)</f>
        <v/>
      </c>
      <c r="O34">
        <f>SUM(E34:G34)</f>
        <v/>
      </c>
      <c r="P34">
        <f>SUM(H34:J34)</f>
        <v/>
      </c>
      <c r="Q34">
        <f>SUM(K34:M34)</f>
        <v/>
      </c>
      <c r="R34">
        <f>SUM(N34:O34)</f>
        <v/>
      </c>
      <c r="S34">
        <f>SUM(P34:Q34)</f>
        <v/>
      </c>
      <c r="T34">
        <f>R34+S34</f>
        <v/>
      </c>
    </row>
    <row r="35">
      <c r="A35" t="inlineStr">
        <is>
          <t xml:space="preserve"> 원가절감(구매)</t>
        </is>
      </c>
      <c r="B35" t="n">
        <v>289</v>
      </c>
      <c r="C35" t="n">
        <v>275</v>
      </c>
      <c r="D35" t="n">
        <v>147</v>
      </c>
      <c r="E35" t="n">
        <v>322</v>
      </c>
      <c r="F35" t="n">
        <v>210</v>
      </c>
      <c r="G35" t="n">
        <v>264</v>
      </c>
      <c r="H35" t="n">
        <v>318</v>
      </c>
      <c r="I35" t="n">
        <v>190</v>
      </c>
      <c r="J35" t="n">
        <v>192</v>
      </c>
      <c r="K35" t="n">
        <v>179</v>
      </c>
      <c r="L35" t="n">
        <v>307</v>
      </c>
      <c r="M35" t="n">
        <v>239</v>
      </c>
      <c r="N35">
        <f>SUM(B35:D35)</f>
        <v/>
      </c>
      <c r="O35">
        <f>SUM(E35:G35)</f>
        <v/>
      </c>
      <c r="P35">
        <f>SUM(H35:J35)</f>
        <v/>
      </c>
      <c r="Q35">
        <f>SUM(K35:M35)</f>
        <v/>
      </c>
      <c r="R35">
        <f>SUM(N35:O35)</f>
        <v/>
      </c>
      <c r="S35">
        <f>SUM(P35:Q35)</f>
        <v/>
      </c>
      <c r="T35">
        <f>R35+S35</f>
        <v/>
      </c>
    </row>
    <row r="36">
      <c r="A36" t="inlineStr">
        <is>
          <t xml:space="preserve"> 원가절감(광주)</t>
        </is>
      </c>
      <c r="B36" t="n">
        <v>922</v>
      </c>
      <c r="C36" t="n">
        <v>1117</v>
      </c>
      <c r="D36" t="n">
        <v>462</v>
      </c>
      <c r="E36" t="n">
        <v>895</v>
      </c>
      <c r="F36" t="n">
        <v>706</v>
      </c>
      <c r="G36" t="n">
        <v>739</v>
      </c>
      <c r="H36" t="n">
        <v>1379</v>
      </c>
      <c r="I36" t="n">
        <v>644</v>
      </c>
      <c r="J36" t="n">
        <v>643</v>
      </c>
      <c r="K36" t="n">
        <v>608</v>
      </c>
      <c r="L36" t="n">
        <v>1153</v>
      </c>
      <c r="M36" t="n">
        <v>728</v>
      </c>
      <c r="N36">
        <f>SUM(B36:D36)</f>
        <v/>
      </c>
      <c r="O36">
        <f>SUM(E36:G36)</f>
        <v/>
      </c>
      <c r="P36">
        <f>SUM(H36:J36)</f>
        <v/>
      </c>
      <c r="Q36">
        <f>SUM(K36:M36)</f>
        <v/>
      </c>
      <c r="R36">
        <f>SUM(N36:O36)</f>
        <v/>
      </c>
      <c r="S36">
        <f>SUM(P36:Q36)</f>
        <v/>
      </c>
      <c r="T36">
        <f>R36+S36</f>
        <v/>
      </c>
    </row>
    <row r="37">
      <c r="A37" t="inlineStr">
        <is>
          <t xml:space="preserve"> 원가절감(창원)</t>
        </is>
      </c>
      <c r="B37" t="n">
        <v>437</v>
      </c>
      <c r="C37" t="n">
        <v>434</v>
      </c>
      <c r="D37" t="n">
        <v>216</v>
      </c>
      <c r="E37" t="n">
        <v>529</v>
      </c>
      <c r="F37" t="n">
        <v>342</v>
      </c>
      <c r="G37" t="n">
        <v>366</v>
      </c>
      <c r="H37" t="n">
        <v>532</v>
      </c>
      <c r="I37" t="n">
        <v>312</v>
      </c>
      <c r="J37" t="n">
        <v>282</v>
      </c>
      <c r="K37" t="n">
        <v>287</v>
      </c>
      <c r="L37" t="n">
        <v>582</v>
      </c>
      <c r="M37" t="n">
        <v>349</v>
      </c>
      <c r="N37">
        <f>SUM(B37:D37)</f>
        <v/>
      </c>
      <c r="O37">
        <f>SUM(E37:G37)</f>
        <v/>
      </c>
      <c r="P37">
        <f>SUM(H37:J37)</f>
        <v/>
      </c>
      <c r="Q37">
        <f>SUM(K37:M37)</f>
        <v/>
      </c>
      <c r="R37">
        <f>SUM(N37:O37)</f>
        <v/>
      </c>
      <c r="S37">
        <f>SUM(P37:Q37)</f>
        <v/>
      </c>
      <c r="T37">
        <f>R37+S37</f>
        <v/>
      </c>
    </row>
    <row r="38">
      <c r="A38" t="inlineStr">
        <is>
          <t xml:space="preserve"> 원가절감(품질)</t>
        </is>
      </c>
      <c r="B38" t="n">
        <v>216</v>
      </c>
      <c r="C38" t="n">
        <v>284</v>
      </c>
      <c r="D38" t="n">
        <v>114</v>
      </c>
      <c r="E38" t="n">
        <v>240</v>
      </c>
      <c r="F38" t="n">
        <v>211</v>
      </c>
      <c r="G38" t="n">
        <v>189</v>
      </c>
      <c r="H38" t="n">
        <v>309</v>
      </c>
      <c r="I38" t="n">
        <v>197</v>
      </c>
      <c r="J38" t="n">
        <v>179</v>
      </c>
      <c r="K38" t="n">
        <v>160</v>
      </c>
      <c r="L38" t="n">
        <v>284</v>
      </c>
      <c r="M38" t="n">
        <v>209</v>
      </c>
      <c r="N38">
        <f>SUM(B38:D38)</f>
        <v/>
      </c>
      <c r="O38">
        <f>SUM(E38:G38)</f>
        <v/>
      </c>
      <c r="P38">
        <f>SUM(H38:J38)</f>
        <v/>
      </c>
      <c r="Q38">
        <f>SUM(K38:M38)</f>
        <v/>
      </c>
      <c r="R38">
        <f>SUM(N38:O38)</f>
        <v/>
      </c>
      <c r="S38">
        <f>SUM(P38:Q38)</f>
        <v/>
      </c>
      <c r="T38">
        <f>R38+S38</f>
        <v/>
      </c>
    </row>
    <row r="39">
      <c r="A39" t="inlineStr">
        <is>
          <t xml:space="preserve"> 원가절감(국내)</t>
        </is>
      </c>
      <c r="B39" t="n">
        <v>437</v>
      </c>
      <c r="C39" t="n">
        <v>572</v>
      </c>
      <c r="D39" t="n">
        <v>224</v>
      </c>
      <c r="E39" t="n">
        <v>552</v>
      </c>
      <c r="F39" t="n">
        <v>362</v>
      </c>
      <c r="G39" t="n">
        <v>367</v>
      </c>
      <c r="H39" t="n">
        <v>584</v>
      </c>
      <c r="I39" t="n">
        <v>300</v>
      </c>
      <c r="J39" t="n">
        <v>328</v>
      </c>
      <c r="K39" t="n">
        <v>313</v>
      </c>
      <c r="L39" t="n">
        <v>627</v>
      </c>
      <c r="M39" t="n">
        <v>379</v>
      </c>
      <c r="N39">
        <f>SUM(B39:D39)</f>
        <v/>
      </c>
      <c r="O39">
        <f>SUM(E39:G39)</f>
        <v/>
      </c>
      <c r="P39">
        <f>SUM(H39:J39)</f>
        <v/>
      </c>
      <c r="Q39">
        <f>SUM(K39:M39)</f>
        <v/>
      </c>
      <c r="R39">
        <f>SUM(N39:O39)</f>
        <v/>
      </c>
      <c r="S39">
        <f>SUM(P39:Q39)</f>
        <v/>
      </c>
      <c r="T39">
        <f>R39+S39</f>
        <v/>
      </c>
    </row>
    <row r="40">
      <c r="A40" t="inlineStr">
        <is>
          <t xml:space="preserve"> 원가절감(해외)</t>
        </is>
      </c>
      <c r="B40" t="n">
        <v>657</v>
      </c>
      <c r="C40" t="n">
        <v>700</v>
      </c>
      <c r="D40" t="n">
        <v>382</v>
      </c>
      <c r="E40" t="n">
        <v>669</v>
      </c>
      <c r="F40" t="n">
        <v>605</v>
      </c>
      <c r="G40" t="n">
        <v>534</v>
      </c>
      <c r="H40" t="n">
        <v>895</v>
      </c>
      <c r="I40" t="n">
        <v>514</v>
      </c>
      <c r="J40" t="n">
        <v>433</v>
      </c>
      <c r="K40" t="n">
        <v>548</v>
      </c>
      <c r="L40" t="n">
        <v>813</v>
      </c>
      <c r="M40" t="n">
        <v>583</v>
      </c>
      <c r="N40">
        <f>SUM(B40:D40)</f>
        <v/>
      </c>
      <c r="O40">
        <f>SUM(E40:G40)</f>
        <v/>
      </c>
      <c r="P40">
        <f>SUM(H40:J40)</f>
        <v/>
      </c>
      <c r="Q40">
        <f>SUM(K40:M40)</f>
        <v/>
      </c>
      <c r="R40">
        <f>SUM(N40:O40)</f>
        <v/>
      </c>
      <c r="S40">
        <f>SUM(P40:Q40)</f>
        <v/>
      </c>
      <c r="T40">
        <f>R40+S40</f>
        <v/>
      </c>
    </row>
    <row r="41">
      <c r="A41" t="inlineStr">
        <is>
          <t xml:space="preserve"> 매출총이익(A)</t>
        </is>
      </c>
      <c r="B41">
        <f>B5-B6</f>
        <v/>
      </c>
      <c r="C41">
        <f>C5-C6</f>
        <v/>
      </c>
      <c r="D41">
        <f>D5-D6</f>
        <v/>
      </c>
      <c r="E41">
        <f>E5-E6</f>
        <v/>
      </c>
      <c r="F41">
        <f>F5-F6</f>
        <v/>
      </c>
      <c r="G41">
        <f>G5-G6</f>
        <v/>
      </c>
      <c r="H41">
        <f>H5-H6</f>
        <v/>
      </c>
      <c r="I41">
        <f>I5-I6</f>
        <v/>
      </c>
      <c r="J41">
        <f>J5-J6</f>
        <v/>
      </c>
      <c r="K41">
        <f>K5-K6</f>
        <v/>
      </c>
      <c r="L41">
        <f>L5-L6</f>
        <v/>
      </c>
      <c r="M41">
        <f>M5-M6</f>
        <v/>
      </c>
      <c r="N41">
        <f>N5-N6</f>
        <v/>
      </c>
      <c r="O41">
        <f>O5-O6</f>
        <v/>
      </c>
      <c r="P41">
        <f>P5-P6</f>
        <v/>
      </c>
      <c r="Q41">
        <f>Q5-Q6</f>
        <v/>
      </c>
      <c r="R41">
        <f>R5-R6</f>
        <v/>
      </c>
      <c r="S41">
        <f>S5-S6</f>
        <v/>
      </c>
      <c r="T41">
        <f>T5-T6</f>
        <v/>
      </c>
    </row>
    <row r="42">
      <c r="A42" t="inlineStr">
        <is>
          <t xml:space="preserve"> 판관비(Total)</t>
        </is>
      </c>
      <c r="B42">
        <f>SUM(B44:B80)</f>
        <v/>
      </c>
      <c r="C42">
        <f>SUM(C44:C80)</f>
        <v/>
      </c>
      <c r="D42">
        <f>SUM(D44:D80)</f>
        <v/>
      </c>
      <c r="E42">
        <f>SUM(E44:E80)</f>
        <v/>
      </c>
      <c r="F42">
        <f>SUM(F44:F80)</f>
        <v/>
      </c>
      <c r="G42">
        <f>SUM(G44:G80)</f>
        <v/>
      </c>
      <c r="H42">
        <f>SUM(H44:H80)</f>
        <v/>
      </c>
      <c r="I42">
        <f>SUM(I44:I80)</f>
        <v/>
      </c>
      <c r="J42">
        <f>SUM(J44:J80)</f>
        <v/>
      </c>
      <c r="K42">
        <f>SUM(K44:K80)</f>
        <v/>
      </c>
      <c r="L42">
        <f>SUM(L44:L80)</f>
        <v/>
      </c>
      <c r="M42">
        <f>SUM(M44:M80)</f>
        <v/>
      </c>
      <c r="N42">
        <f>SUM(B42:D42)</f>
        <v/>
      </c>
      <c r="O42">
        <f>SUM(E42:G42)</f>
        <v/>
      </c>
      <c r="P42">
        <f>SUM(H42:J42)</f>
        <v/>
      </c>
      <c r="Q42">
        <f>SUM(K42:M42)</f>
        <v/>
      </c>
      <c r="R42">
        <f>SUM(N42:O42)</f>
        <v/>
      </c>
      <c r="S42">
        <f>SUM(P42:Q42)</f>
        <v/>
      </c>
      <c r="T42">
        <f>R42+S42</f>
        <v/>
      </c>
    </row>
    <row r="43">
      <c r="B43">
        <f>IFERROR(B42/B5,0)</f>
        <v/>
      </c>
      <c r="C43">
        <f>IFERROR(C42/C5,0)</f>
        <v/>
      </c>
      <c r="D43">
        <f>IFERROR(D42/D5,0)</f>
        <v/>
      </c>
      <c r="E43">
        <f>IFERROR(E42/E5,0)</f>
        <v/>
      </c>
      <c r="F43">
        <f>IFERROR(F42/F5,0)</f>
        <v/>
      </c>
      <c r="G43">
        <f>IFERROR(G42/G5,0)</f>
        <v/>
      </c>
      <c r="H43">
        <f>IFERROR(H42/H5,0)</f>
        <v/>
      </c>
      <c r="I43">
        <f>IFERROR(I42/I5,0)</f>
        <v/>
      </c>
      <c r="J43">
        <f>IFERROR(J42/J5,0)</f>
        <v/>
      </c>
      <c r="K43">
        <f>IFERROR(K42/K5,0)</f>
        <v/>
      </c>
      <c r="L43">
        <f>IFERROR(L42/L5,0)</f>
        <v/>
      </c>
      <c r="M43">
        <f>IFERROR(M42/M5,0)</f>
        <v/>
      </c>
      <c r="N43">
        <f>IFERROR(N42/N5,0)</f>
        <v/>
      </c>
      <c r="O43">
        <f>IFERROR(O42/O5,0)</f>
        <v/>
      </c>
      <c r="P43">
        <f>IFERROR(P42/P5,0)</f>
        <v/>
      </c>
      <c r="Q43">
        <f>IFERROR(Q42/Q5,0)</f>
        <v/>
      </c>
      <c r="R43">
        <f>IFERROR(R42/R5,0)</f>
        <v/>
      </c>
      <c r="S43">
        <f>IFERROR(S42/S5,0)</f>
        <v/>
      </c>
      <c r="T43">
        <f>IFERROR(T42/T5,0)</f>
        <v/>
      </c>
    </row>
    <row r="44">
      <c r="A44" t="inlineStr">
        <is>
          <t xml:space="preserve"> 임원급여</t>
        </is>
      </c>
      <c r="B44" t="n">
        <v>28</v>
      </c>
      <c r="C44" t="n">
        <v>40</v>
      </c>
      <c r="D44" t="n">
        <v>19</v>
      </c>
      <c r="E44" t="n">
        <v>36</v>
      </c>
      <c r="F44" t="n">
        <v>22</v>
      </c>
      <c r="G44" t="n">
        <v>24</v>
      </c>
      <c r="H44" t="n">
        <v>37</v>
      </c>
      <c r="I44" t="n">
        <v>22</v>
      </c>
      <c r="J44" t="n">
        <v>20</v>
      </c>
      <c r="K44" t="n">
        <v>23</v>
      </c>
      <c r="L44" t="n">
        <v>34</v>
      </c>
      <c r="M44" t="n">
        <v>25</v>
      </c>
      <c r="N44">
        <f>SUM(B44:D44)</f>
        <v/>
      </c>
      <c r="O44">
        <f>SUM(E44:G44)</f>
        <v/>
      </c>
      <c r="P44">
        <f>SUM(H44:J44)</f>
        <v/>
      </c>
      <c r="Q44">
        <f>SUM(K44:M44)</f>
        <v/>
      </c>
      <c r="R44">
        <f>SUM(N44:O44)</f>
        <v/>
      </c>
      <c r="S44">
        <f>SUM(P44:Q44)</f>
        <v/>
      </c>
      <c r="T44">
        <f>R44+S44</f>
        <v/>
      </c>
    </row>
    <row r="45">
      <c r="A45" t="inlineStr">
        <is>
          <t xml:space="preserve"> 직원급여</t>
        </is>
      </c>
      <c r="B45" t="n">
        <v>40</v>
      </c>
      <c r="C45" t="n">
        <v>39</v>
      </c>
      <c r="D45" t="n">
        <v>23</v>
      </c>
      <c r="E45" t="n">
        <v>42</v>
      </c>
      <c r="F45" t="n">
        <v>33</v>
      </c>
      <c r="G45" t="n">
        <v>31</v>
      </c>
      <c r="H45" t="n">
        <v>49</v>
      </c>
      <c r="I45" t="n">
        <v>30</v>
      </c>
      <c r="J45" t="n">
        <v>25</v>
      </c>
      <c r="K45" t="n">
        <v>24</v>
      </c>
      <c r="L45" t="n">
        <v>52</v>
      </c>
      <c r="M45" t="n">
        <v>34</v>
      </c>
      <c r="N45">
        <f>SUM(B45:D45)</f>
        <v/>
      </c>
      <c r="O45">
        <f>SUM(E45:G45)</f>
        <v/>
      </c>
      <c r="P45">
        <f>SUM(H45:J45)</f>
        <v/>
      </c>
      <c r="Q45">
        <f>SUM(K45:M45)</f>
        <v/>
      </c>
      <c r="R45">
        <f>SUM(N45:O45)</f>
        <v/>
      </c>
      <c r="S45">
        <f>SUM(P45:Q45)</f>
        <v/>
      </c>
      <c r="T45">
        <f>R45+S45</f>
        <v/>
      </c>
    </row>
    <row r="46">
      <c r="A46" t="inlineStr">
        <is>
          <t xml:space="preserve"> 임원상여</t>
        </is>
      </c>
      <c r="B46" t="n">
        <v>12</v>
      </c>
      <c r="C46" t="n">
        <v>13</v>
      </c>
      <c r="D46" t="n">
        <v>8</v>
      </c>
      <c r="E46" t="n">
        <v>15</v>
      </c>
      <c r="F46" t="n">
        <v>9</v>
      </c>
      <c r="G46" t="n">
        <v>11</v>
      </c>
      <c r="H46" t="n">
        <v>15</v>
      </c>
      <c r="I46" t="n">
        <v>11</v>
      </c>
      <c r="J46" t="n">
        <v>8</v>
      </c>
      <c r="K46" t="n">
        <v>11</v>
      </c>
      <c r="L46" t="n">
        <v>17</v>
      </c>
      <c r="M46" t="n">
        <v>9</v>
      </c>
      <c r="N46">
        <f>SUM(B46:D46)</f>
        <v/>
      </c>
      <c r="O46">
        <f>SUM(E46:G46)</f>
        <v/>
      </c>
      <c r="P46">
        <f>SUM(H46:J46)</f>
        <v/>
      </c>
      <c r="Q46">
        <f>SUM(K46:M46)</f>
        <v/>
      </c>
      <c r="R46">
        <f>SUM(N46:O46)</f>
        <v/>
      </c>
      <c r="S46">
        <f>SUM(P46:Q46)</f>
        <v/>
      </c>
      <c r="T46">
        <f>R46+S46</f>
        <v/>
      </c>
    </row>
    <row r="47">
      <c r="A47" t="inlineStr">
        <is>
          <t xml:space="preserve"> 직원상여</t>
        </is>
      </c>
      <c r="B47" t="n">
        <v>22</v>
      </c>
      <c r="C47" t="n">
        <v>22</v>
      </c>
      <c r="D47" t="n">
        <v>12</v>
      </c>
      <c r="E47" t="n">
        <v>24</v>
      </c>
      <c r="F47" t="n">
        <v>15</v>
      </c>
      <c r="G47" t="n">
        <v>16</v>
      </c>
      <c r="H47" t="n">
        <v>31</v>
      </c>
      <c r="I47" t="n">
        <v>15</v>
      </c>
      <c r="J47" t="n">
        <v>16</v>
      </c>
      <c r="K47" t="n">
        <v>16</v>
      </c>
      <c r="L47" t="n">
        <v>27</v>
      </c>
      <c r="M47" t="n">
        <v>19</v>
      </c>
      <c r="N47">
        <f>SUM(B47:D47)</f>
        <v/>
      </c>
      <c r="O47">
        <f>SUM(E47:G47)</f>
        <v/>
      </c>
      <c r="P47">
        <f>SUM(H47:J47)</f>
        <v/>
      </c>
      <c r="Q47">
        <f>SUM(K47:M47)</f>
        <v/>
      </c>
      <c r="R47">
        <f>SUM(N47:O47)</f>
        <v/>
      </c>
      <c r="S47">
        <f>SUM(P47:Q47)</f>
        <v/>
      </c>
      <c r="T47">
        <f>R47+S47</f>
        <v/>
      </c>
    </row>
    <row r="48">
      <c r="A48" t="inlineStr">
        <is>
          <t xml:space="preserve"> 임금</t>
        </is>
      </c>
      <c r="B48" t="n">
        <v>80</v>
      </c>
      <c r="C48" t="n">
        <v>84</v>
      </c>
      <c r="D48" t="n">
        <v>36</v>
      </c>
      <c r="E48" t="n">
        <v>88</v>
      </c>
      <c r="F48" t="n">
        <v>60</v>
      </c>
      <c r="G48" t="n">
        <v>68</v>
      </c>
      <c r="H48" t="n">
        <v>114</v>
      </c>
      <c r="I48" t="n">
        <v>51</v>
      </c>
      <c r="J48" t="n">
        <v>57</v>
      </c>
      <c r="K48" t="n">
        <v>49</v>
      </c>
      <c r="L48" t="n">
        <v>101</v>
      </c>
      <c r="M48" t="n">
        <v>69</v>
      </c>
      <c r="N48">
        <f>SUM(B48:D48)</f>
        <v/>
      </c>
      <c r="O48">
        <f>SUM(E48:G48)</f>
        <v/>
      </c>
      <c r="P48">
        <f>SUM(H48:J48)</f>
        <v/>
      </c>
      <c r="Q48">
        <f>SUM(K48:M48)</f>
        <v/>
      </c>
      <c r="R48">
        <f>SUM(N48:O48)</f>
        <v/>
      </c>
      <c r="S48">
        <f>SUM(P48:Q48)</f>
        <v/>
      </c>
      <c r="T48">
        <f>R48+S48</f>
        <v/>
      </c>
    </row>
    <row r="49">
      <c r="A49" t="inlineStr">
        <is>
          <t xml:space="preserve"> 제수당</t>
        </is>
      </c>
      <c r="B49" t="n">
        <v>31</v>
      </c>
      <c r="C49" t="n">
        <v>37</v>
      </c>
      <c r="D49" t="n">
        <v>20</v>
      </c>
      <c r="E49" t="n">
        <v>37</v>
      </c>
      <c r="F49" t="n">
        <v>27</v>
      </c>
      <c r="G49" t="n">
        <v>27</v>
      </c>
      <c r="H49" t="n">
        <v>37</v>
      </c>
      <c r="I49" t="n">
        <v>23</v>
      </c>
      <c r="J49" t="n">
        <v>22</v>
      </c>
      <c r="K49" t="n">
        <v>22</v>
      </c>
      <c r="L49" t="n">
        <v>38</v>
      </c>
      <c r="M49" t="n">
        <v>24</v>
      </c>
      <c r="N49">
        <f>SUM(B49:D49)</f>
        <v/>
      </c>
      <c r="O49">
        <f>SUM(E49:G49)</f>
        <v/>
      </c>
      <c r="P49">
        <f>SUM(H49:J49)</f>
        <v/>
      </c>
      <c r="Q49">
        <f>SUM(K49:M49)</f>
        <v/>
      </c>
      <c r="R49">
        <f>SUM(N49:O49)</f>
        <v/>
      </c>
      <c r="S49">
        <f>SUM(P49:Q49)</f>
        <v/>
      </c>
      <c r="T49">
        <f>R49+S49</f>
        <v/>
      </c>
    </row>
    <row r="50">
      <c r="A50" t="inlineStr">
        <is>
          <t xml:space="preserve"> 잡급</t>
        </is>
      </c>
      <c r="B50" t="n">
        <v>65</v>
      </c>
      <c r="C50" t="n">
        <v>72</v>
      </c>
      <c r="D50" t="n">
        <v>31</v>
      </c>
      <c r="E50" t="n">
        <v>61</v>
      </c>
      <c r="F50" t="n">
        <v>49</v>
      </c>
      <c r="G50" t="n">
        <v>53</v>
      </c>
      <c r="H50" t="n">
        <v>91</v>
      </c>
      <c r="I50" t="n">
        <v>44</v>
      </c>
      <c r="J50" t="n">
        <v>39</v>
      </c>
      <c r="K50" t="n">
        <v>51</v>
      </c>
      <c r="L50" t="n">
        <v>68</v>
      </c>
      <c r="M50" t="n">
        <v>51</v>
      </c>
      <c r="N50">
        <f>SUM(B50:D50)</f>
        <v/>
      </c>
      <c r="O50">
        <f>SUM(E50:G50)</f>
        <v/>
      </c>
      <c r="P50">
        <f>SUM(H50:J50)</f>
        <v/>
      </c>
      <c r="Q50">
        <f>SUM(K50:M50)</f>
        <v/>
      </c>
      <c r="R50">
        <f>SUM(N50:O50)</f>
        <v/>
      </c>
      <c r="S50">
        <f>SUM(P50:Q50)</f>
        <v/>
      </c>
      <c r="T50">
        <f>R50+S50</f>
        <v/>
      </c>
    </row>
    <row r="51">
      <c r="A51" t="inlineStr">
        <is>
          <t xml:space="preserve"> 퇴직급여</t>
        </is>
      </c>
      <c r="B51" t="n">
        <v>14</v>
      </c>
      <c r="C51" t="n">
        <v>18</v>
      </c>
      <c r="D51" t="n">
        <v>8</v>
      </c>
      <c r="E51" t="n">
        <v>17</v>
      </c>
      <c r="F51" t="n">
        <v>11</v>
      </c>
      <c r="G51" t="n">
        <v>14</v>
      </c>
      <c r="H51" t="n">
        <v>20</v>
      </c>
      <c r="I51" t="n">
        <v>11</v>
      </c>
      <c r="J51" t="n">
        <v>11</v>
      </c>
      <c r="K51" t="n">
        <v>12</v>
      </c>
      <c r="L51" t="n">
        <v>16</v>
      </c>
      <c r="M51" t="n">
        <v>12</v>
      </c>
      <c r="N51">
        <f>SUM(B51:D51)</f>
        <v/>
      </c>
      <c r="O51">
        <f>SUM(E51:G51)</f>
        <v/>
      </c>
      <c r="P51">
        <f>SUM(H51:J51)</f>
        <v/>
      </c>
      <c r="Q51">
        <f>SUM(K51:M51)</f>
        <v/>
      </c>
      <c r="R51">
        <f>SUM(N51:O51)</f>
        <v/>
      </c>
      <c r="S51">
        <f>SUM(P51:Q51)</f>
        <v/>
      </c>
      <c r="T51">
        <f>R51+S51</f>
        <v/>
      </c>
    </row>
    <row r="52">
      <c r="A52" t="inlineStr">
        <is>
          <t xml:space="preserve"> 대손상각비</t>
        </is>
      </c>
      <c r="B52" t="n">
        <v>51</v>
      </c>
      <c r="C52" t="n">
        <v>54</v>
      </c>
      <c r="D52" t="n">
        <v>25</v>
      </c>
      <c r="E52" t="n">
        <v>53</v>
      </c>
      <c r="F52" t="n">
        <v>38</v>
      </c>
      <c r="G52" t="n">
        <v>50</v>
      </c>
      <c r="H52" t="n">
        <v>68</v>
      </c>
      <c r="I52" t="n">
        <v>35</v>
      </c>
      <c r="J52" t="n">
        <v>34</v>
      </c>
      <c r="K52" t="n">
        <v>39</v>
      </c>
      <c r="L52" t="n">
        <v>63</v>
      </c>
      <c r="M52" t="n">
        <v>39</v>
      </c>
      <c r="N52">
        <f>SUM(B52:D52)</f>
        <v/>
      </c>
      <c r="O52">
        <f>SUM(E52:G52)</f>
        <v/>
      </c>
      <c r="P52">
        <f>SUM(H52:J52)</f>
        <v/>
      </c>
      <c r="Q52">
        <f>SUM(K52:M52)</f>
        <v/>
      </c>
      <c r="R52">
        <f>SUM(N52:O52)</f>
        <v/>
      </c>
      <c r="S52">
        <f>SUM(P52:Q52)</f>
        <v/>
      </c>
      <c r="T52">
        <f>R52+S52</f>
        <v/>
      </c>
    </row>
    <row r="53">
      <c r="A53" t="inlineStr">
        <is>
          <t xml:space="preserve"> 복리후생비</t>
        </is>
      </c>
      <c r="B53" t="n">
        <v>32</v>
      </c>
      <c r="C53" t="n">
        <v>34</v>
      </c>
      <c r="D53" t="n">
        <v>22</v>
      </c>
      <c r="E53" t="n">
        <v>42</v>
      </c>
      <c r="F53" t="n">
        <v>25</v>
      </c>
      <c r="G53" t="n">
        <v>34</v>
      </c>
      <c r="H53" t="n">
        <v>54</v>
      </c>
      <c r="I53" t="n">
        <v>27</v>
      </c>
      <c r="J53" t="n">
        <v>22</v>
      </c>
      <c r="K53" t="n">
        <v>27</v>
      </c>
      <c r="L53" t="n">
        <v>44</v>
      </c>
      <c r="M53" t="n">
        <v>27</v>
      </c>
      <c r="N53">
        <f>SUM(B53:D53)</f>
        <v/>
      </c>
      <c r="O53">
        <f>SUM(E53:G53)</f>
        <v/>
      </c>
      <c r="P53">
        <f>SUM(H53:J53)</f>
        <v/>
      </c>
      <c r="Q53">
        <f>SUM(K53:M53)</f>
        <v/>
      </c>
      <c r="R53">
        <f>SUM(N53:O53)</f>
        <v/>
      </c>
      <c r="S53">
        <f>SUM(P53:Q53)</f>
        <v/>
      </c>
      <c r="T53">
        <f>R53+S53</f>
        <v/>
      </c>
    </row>
    <row r="54">
      <c r="A54" t="inlineStr">
        <is>
          <t xml:space="preserve"> 여비교통비</t>
        </is>
      </c>
      <c r="B54" t="n">
        <v>48</v>
      </c>
      <c r="C54" t="n">
        <v>45</v>
      </c>
      <c r="D54" t="n">
        <v>29</v>
      </c>
      <c r="E54" t="n">
        <v>53</v>
      </c>
      <c r="F54" t="n">
        <v>40</v>
      </c>
      <c r="G54" t="n">
        <v>48</v>
      </c>
      <c r="H54" t="n">
        <v>65</v>
      </c>
      <c r="I54" t="n">
        <v>33</v>
      </c>
      <c r="J54" t="n">
        <v>30</v>
      </c>
      <c r="K54" t="n">
        <v>32</v>
      </c>
      <c r="L54" t="n">
        <v>51</v>
      </c>
      <c r="M54" t="n">
        <v>42</v>
      </c>
      <c r="N54">
        <f>SUM(B54:D54)</f>
        <v/>
      </c>
      <c r="O54">
        <f>SUM(E54:G54)</f>
        <v/>
      </c>
      <c r="P54">
        <f>SUM(H54:J54)</f>
        <v/>
      </c>
      <c r="Q54">
        <f>SUM(K54:M54)</f>
        <v/>
      </c>
      <c r="R54">
        <f>SUM(N54:O54)</f>
        <v/>
      </c>
      <c r="S54">
        <f>SUM(P54:Q54)</f>
        <v/>
      </c>
      <c r="T54">
        <f>R54+S54</f>
        <v/>
      </c>
    </row>
    <row r="55">
      <c r="A55" t="inlineStr">
        <is>
          <t xml:space="preserve"> 통신비</t>
        </is>
      </c>
      <c r="B55" t="n">
        <v>34</v>
      </c>
      <c r="C55" t="n">
        <v>32</v>
      </c>
      <c r="D55" t="n">
        <v>15</v>
      </c>
      <c r="E55" t="n">
        <v>34</v>
      </c>
      <c r="F55" t="n">
        <v>27</v>
      </c>
      <c r="G55" t="n">
        <v>31</v>
      </c>
      <c r="H55" t="n">
        <v>36</v>
      </c>
      <c r="I55" t="n">
        <v>25</v>
      </c>
      <c r="J55" t="n">
        <v>23</v>
      </c>
      <c r="K55" t="n">
        <v>25</v>
      </c>
      <c r="L55" t="n">
        <v>36</v>
      </c>
      <c r="M55" t="n">
        <v>23</v>
      </c>
      <c r="N55">
        <f>SUM(B55:D55)</f>
        <v/>
      </c>
      <c r="O55">
        <f>SUM(E55:G55)</f>
        <v/>
      </c>
      <c r="P55">
        <f>SUM(H55:J55)</f>
        <v/>
      </c>
      <c r="Q55">
        <f>SUM(K55:M55)</f>
        <v/>
      </c>
      <c r="R55">
        <f>SUM(N55:O55)</f>
        <v/>
      </c>
      <c r="S55">
        <f>SUM(P55:Q55)</f>
        <v/>
      </c>
      <c r="T55">
        <f>R55+S55</f>
        <v/>
      </c>
    </row>
    <row r="56">
      <c r="A56" t="inlineStr">
        <is>
          <t xml:space="preserve"> 소모품비</t>
        </is>
      </c>
      <c r="B56" t="n">
        <v>13</v>
      </c>
      <c r="C56" t="n">
        <v>12</v>
      </c>
      <c r="D56" t="n">
        <v>6</v>
      </c>
      <c r="E56" t="n">
        <v>12</v>
      </c>
      <c r="F56" t="n">
        <v>9</v>
      </c>
      <c r="G56" t="n">
        <v>11</v>
      </c>
      <c r="H56" t="n">
        <v>14</v>
      </c>
      <c r="I56" t="n">
        <v>7</v>
      </c>
      <c r="J56" t="n">
        <v>8</v>
      </c>
      <c r="K56" t="n">
        <v>9</v>
      </c>
      <c r="L56" t="n">
        <v>16</v>
      </c>
      <c r="M56" t="n">
        <v>10</v>
      </c>
      <c r="N56">
        <f>SUM(B56:D56)</f>
        <v/>
      </c>
      <c r="O56">
        <f>SUM(E56:G56)</f>
        <v/>
      </c>
      <c r="P56">
        <f>SUM(H56:J56)</f>
        <v/>
      </c>
      <c r="Q56">
        <f>SUM(K56:M56)</f>
        <v/>
      </c>
      <c r="R56">
        <f>SUM(N56:O56)</f>
        <v/>
      </c>
      <c r="S56">
        <f>SUM(P56:Q56)</f>
        <v/>
      </c>
      <c r="T56">
        <f>R56+S56</f>
        <v/>
      </c>
    </row>
    <row r="57">
      <c r="A57" t="inlineStr">
        <is>
          <t xml:space="preserve"> 도서인쇄비</t>
        </is>
      </c>
      <c r="B57" t="n">
        <v>36</v>
      </c>
      <c r="C57" t="n">
        <v>40</v>
      </c>
      <c r="D57" t="n">
        <v>17</v>
      </c>
      <c r="E57" t="n">
        <v>34</v>
      </c>
      <c r="F57" t="n">
        <v>23</v>
      </c>
      <c r="G57" t="n">
        <v>27</v>
      </c>
      <c r="H57" t="n">
        <v>43</v>
      </c>
      <c r="I57" t="n">
        <v>21</v>
      </c>
      <c r="J57" t="n">
        <v>23</v>
      </c>
      <c r="K57" t="n">
        <v>21</v>
      </c>
      <c r="L57" t="n">
        <v>39</v>
      </c>
      <c r="M57" t="n">
        <v>30</v>
      </c>
      <c r="N57">
        <f>SUM(B57:D57)</f>
        <v/>
      </c>
      <c r="O57">
        <f>SUM(E57:G57)</f>
        <v/>
      </c>
      <c r="P57">
        <f>SUM(H57:J57)</f>
        <v/>
      </c>
      <c r="Q57">
        <f>SUM(K57:M57)</f>
        <v/>
      </c>
      <c r="R57">
        <f>SUM(N57:O57)</f>
        <v/>
      </c>
      <c r="S57">
        <f>SUM(P57:Q57)</f>
        <v/>
      </c>
      <c r="T57">
        <f>R57+S57</f>
        <v/>
      </c>
    </row>
    <row r="58">
      <c r="A58" t="inlineStr">
        <is>
          <t xml:space="preserve"> 세금과공과</t>
        </is>
      </c>
      <c r="B58" t="n">
        <v>22</v>
      </c>
      <c r="C58" t="n">
        <v>24</v>
      </c>
      <c r="D58" t="n">
        <v>13</v>
      </c>
      <c r="E58" t="n">
        <v>24</v>
      </c>
      <c r="F58" t="n">
        <v>21</v>
      </c>
      <c r="G58" t="n">
        <v>19</v>
      </c>
      <c r="H58" t="n">
        <v>36</v>
      </c>
      <c r="I58" t="n">
        <v>20</v>
      </c>
      <c r="J58" t="n">
        <v>18</v>
      </c>
      <c r="K58" t="n">
        <v>18</v>
      </c>
      <c r="L58" t="n">
        <v>29</v>
      </c>
      <c r="M58" t="n">
        <v>21</v>
      </c>
      <c r="N58">
        <f>SUM(B58:D58)</f>
        <v/>
      </c>
      <c r="O58">
        <f>SUM(E58:G58)</f>
        <v/>
      </c>
      <c r="P58">
        <f>SUM(H58:J58)</f>
        <v/>
      </c>
      <c r="Q58">
        <f>SUM(K58:M58)</f>
        <v/>
      </c>
      <c r="R58">
        <f>SUM(N58:O58)</f>
        <v/>
      </c>
      <c r="S58">
        <f>SUM(P58:Q58)</f>
        <v/>
      </c>
      <c r="T58">
        <f>R58+S58</f>
        <v/>
      </c>
    </row>
    <row r="59">
      <c r="A59" t="inlineStr">
        <is>
          <t xml:space="preserve"> 임차료</t>
        </is>
      </c>
      <c r="B59" t="n">
        <v>17</v>
      </c>
      <c r="C59" t="n">
        <v>18</v>
      </c>
      <c r="D59" t="n">
        <v>9</v>
      </c>
      <c r="E59" t="n">
        <v>17</v>
      </c>
      <c r="F59" t="n">
        <v>14</v>
      </c>
      <c r="G59" t="n">
        <v>16</v>
      </c>
      <c r="H59" t="n">
        <v>24</v>
      </c>
      <c r="I59" t="n">
        <v>11</v>
      </c>
      <c r="J59" t="n">
        <v>11</v>
      </c>
      <c r="K59" t="n">
        <v>12</v>
      </c>
      <c r="L59" t="n">
        <v>21</v>
      </c>
      <c r="M59" t="n">
        <v>13</v>
      </c>
      <c r="N59">
        <f>SUM(B59:D59)</f>
        <v/>
      </c>
      <c r="O59">
        <f>SUM(E59:G59)</f>
        <v/>
      </c>
      <c r="P59">
        <f>SUM(H59:J59)</f>
        <v/>
      </c>
      <c r="Q59">
        <f>SUM(K59:M59)</f>
        <v/>
      </c>
      <c r="R59">
        <f>SUM(N59:O59)</f>
        <v/>
      </c>
      <c r="S59">
        <f>SUM(P59:Q59)</f>
        <v/>
      </c>
      <c r="T59">
        <f>R59+S59</f>
        <v/>
      </c>
    </row>
    <row r="60">
      <c r="A60" t="inlineStr">
        <is>
          <t xml:space="preserve"> 수도광열비</t>
        </is>
      </c>
      <c r="B60" t="n">
        <v>60</v>
      </c>
      <c r="C60" t="n">
        <v>64</v>
      </c>
      <c r="D60" t="n">
        <v>34</v>
      </c>
      <c r="E60" t="n">
        <v>70</v>
      </c>
      <c r="F60" t="n">
        <v>60</v>
      </c>
      <c r="G60" t="n">
        <v>65</v>
      </c>
      <c r="H60" t="n">
        <v>95</v>
      </c>
      <c r="I60" t="n">
        <v>56</v>
      </c>
      <c r="J60" t="n">
        <v>51</v>
      </c>
      <c r="K60" t="n">
        <v>51</v>
      </c>
      <c r="L60" t="n">
        <v>89</v>
      </c>
      <c r="M60" t="n">
        <v>47</v>
      </c>
      <c r="N60">
        <f>SUM(B60:D60)</f>
        <v/>
      </c>
      <c r="O60">
        <f>SUM(E60:G60)</f>
        <v/>
      </c>
      <c r="P60">
        <f>SUM(H60:J60)</f>
        <v/>
      </c>
      <c r="Q60">
        <f>SUM(K60:M60)</f>
        <v/>
      </c>
      <c r="R60">
        <f>SUM(N60:O60)</f>
        <v/>
      </c>
      <c r="S60">
        <f>SUM(P60:Q60)</f>
        <v/>
      </c>
      <c r="T60">
        <f>R60+S60</f>
        <v/>
      </c>
    </row>
    <row r="61">
      <c r="A61" t="inlineStr">
        <is>
          <t xml:space="preserve"> 광고선전비</t>
        </is>
      </c>
      <c r="B61" t="n">
        <v>31</v>
      </c>
      <c r="C61" t="n">
        <v>34</v>
      </c>
      <c r="D61" t="n">
        <v>15</v>
      </c>
      <c r="E61" t="n">
        <v>32</v>
      </c>
      <c r="F61" t="n">
        <v>27</v>
      </c>
      <c r="G61" t="n">
        <v>26</v>
      </c>
      <c r="H61" t="n">
        <v>40</v>
      </c>
      <c r="I61" t="n">
        <v>21</v>
      </c>
      <c r="J61" t="n">
        <v>19</v>
      </c>
      <c r="K61" t="n">
        <v>24</v>
      </c>
      <c r="L61" t="n">
        <v>31</v>
      </c>
      <c r="M61" t="n">
        <v>22</v>
      </c>
      <c r="N61">
        <f>SUM(B61:D61)</f>
        <v/>
      </c>
      <c r="O61">
        <f>SUM(E61:G61)</f>
        <v/>
      </c>
      <c r="P61">
        <f>SUM(H61:J61)</f>
        <v/>
      </c>
      <c r="Q61">
        <f>SUM(K61:M61)</f>
        <v/>
      </c>
      <c r="R61">
        <f>SUM(N61:O61)</f>
        <v/>
      </c>
      <c r="S61">
        <f>SUM(P61:Q61)</f>
        <v/>
      </c>
      <c r="T61">
        <f>R61+S61</f>
        <v/>
      </c>
    </row>
    <row r="62">
      <c r="A62" t="inlineStr">
        <is>
          <t xml:space="preserve"> 접대비(A)</t>
        </is>
      </c>
      <c r="B62" t="n">
        <v>42</v>
      </c>
      <c r="C62" t="n">
        <v>43</v>
      </c>
      <c r="D62" t="n">
        <v>19</v>
      </c>
      <c r="E62" t="n">
        <v>45</v>
      </c>
      <c r="F62" t="n">
        <v>30</v>
      </c>
      <c r="G62" t="n">
        <v>36</v>
      </c>
      <c r="H62" t="n">
        <v>51</v>
      </c>
      <c r="I62" t="n">
        <v>30</v>
      </c>
      <c r="J62" t="n">
        <v>28</v>
      </c>
      <c r="K62" t="n">
        <v>29</v>
      </c>
      <c r="L62" t="n">
        <v>43</v>
      </c>
      <c r="M62" t="n">
        <v>29</v>
      </c>
      <c r="N62">
        <f>SUM(B62:D62)</f>
        <v/>
      </c>
      <c r="O62">
        <f>SUM(E62:G62)</f>
        <v/>
      </c>
      <c r="P62">
        <f>SUM(H62:J62)</f>
        <v/>
      </c>
      <c r="Q62">
        <f>SUM(K62:M62)</f>
        <v/>
      </c>
      <c r="R62">
        <f>SUM(N62:O62)</f>
        <v/>
      </c>
      <c r="S62">
        <f>SUM(P62:Q62)</f>
        <v/>
      </c>
      <c r="T62">
        <f>R62+S62</f>
        <v/>
      </c>
    </row>
    <row r="63">
      <c r="A63" t="inlineStr">
        <is>
          <t xml:space="preserve"> 차량유지비</t>
        </is>
      </c>
      <c r="B63" t="n">
        <v>92</v>
      </c>
      <c r="C63" t="n">
        <v>92</v>
      </c>
      <c r="D63" t="n">
        <v>39</v>
      </c>
      <c r="E63" t="n">
        <v>97</v>
      </c>
      <c r="F63" t="n">
        <v>61</v>
      </c>
      <c r="G63" t="n">
        <v>63</v>
      </c>
      <c r="H63" t="n">
        <v>108</v>
      </c>
      <c r="I63" t="n">
        <v>56</v>
      </c>
      <c r="J63" t="n">
        <v>56</v>
      </c>
      <c r="K63" t="n">
        <v>62</v>
      </c>
      <c r="L63" t="n">
        <v>93</v>
      </c>
      <c r="M63" t="n">
        <v>68</v>
      </c>
      <c r="N63">
        <f>SUM(B63:D63)</f>
        <v/>
      </c>
      <c r="O63">
        <f>SUM(E63:G63)</f>
        <v/>
      </c>
      <c r="P63">
        <f>SUM(H63:J63)</f>
        <v/>
      </c>
      <c r="Q63">
        <f>SUM(K63:M63)</f>
        <v/>
      </c>
      <c r="R63">
        <f>SUM(N63:O63)</f>
        <v/>
      </c>
      <c r="S63">
        <f>SUM(P63:Q63)</f>
        <v/>
      </c>
      <c r="T63">
        <f>R63+S63</f>
        <v/>
      </c>
    </row>
    <row r="64">
      <c r="A64" t="inlineStr">
        <is>
          <t xml:space="preserve"> 운반비</t>
        </is>
      </c>
      <c r="B64" t="n">
        <v>63</v>
      </c>
      <c r="C64" t="n">
        <v>79</v>
      </c>
      <c r="D64" t="n">
        <v>39</v>
      </c>
      <c r="E64" t="n">
        <v>66</v>
      </c>
      <c r="F64" t="n">
        <v>55</v>
      </c>
      <c r="G64" t="n">
        <v>54</v>
      </c>
      <c r="H64" t="n">
        <v>91</v>
      </c>
      <c r="I64" t="n">
        <v>58</v>
      </c>
      <c r="J64" t="n">
        <v>49</v>
      </c>
      <c r="K64" t="n">
        <v>56</v>
      </c>
      <c r="L64" t="n">
        <v>94</v>
      </c>
      <c r="M64" t="n">
        <v>51</v>
      </c>
      <c r="N64">
        <f>SUM(B64:D64)</f>
        <v/>
      </c>
      <c r="O64">
        <f>SUM(E64:G64)</f>
        <v/>
      </c>
      <c r="P64">
        <f>SUM(H64:J64)</f>
        <v/>
      </c>
      <c r="Q64">
        <f>SUM(K64:M64)</f>
        <v/>
      </c>
      <c r="R64">
        <f>SUM(N64:O64)</f>
        <v/>
      </c>
      <c r="S64">
        <f>SUM(P64:Q64)</f>
        <v/>
      </c>
      <c r="T64">
        <f>R64+S64</f>
        <v/>
      </c>
    </row>
    <row r="65">
      <c r="A65" t="inlineStr">
        <is>
          <t xml:space="preserve"> 지급수수료</t>
        </is>
      </c>
      <c r="B65" t="n">
        <v>92</v>
      </c>
      <c r="C65" t="n">
        <v>94</v>
      </c>
      <c r="D65" t="n">
        <v>38</v>
      </c>
      <c r="E65" t="n">
        <v>94</v>
      </c>
      <c r="F65" t="n">
        <v>62</v>
      </c>
      <c r="G65" t="n">
        <v>63</v>
      </c>
      <c r="H65" t="n">
        <v>118</v>
      </c>
      <c r="I65" t="n">
        <v>60</v>
      </c>
      <c r="J65" t="n">
        <v>59</v>
      </c>
      <c r="K65" t="n">
        <v>53</v>
      </c>
      <c r="L65" t="n">
        <v>107</v>
      </c>
      <c r="M65" t="n">
        <v>56</v>
      </c>
      <c r="N65">
        <f>SUM(B65:D65)</f>
        <v/>
      </c>
      <c r="O65">
        <f>SUM(E65:G65)</f>
        <v/>
      </c>
      <c r="P65">
        <f>SUM(H65:J65)</f>
        <v/>
      </c>
      <c r="Q65">
        <f>SUM(K65:M65)</f>
        <v/>
      </c>
      <c r="R65">
        <f>SUM(N65:O65)</f>
        <v/>
      </c>
      <c r="S65">
        <f>SUM(P65:Q65)</f>
        <v/>
      </c>
      <c r="T65">
        <f>R65+S65</f>
        <v/>
      </c>
    </row>
    <row r="66">
      <c r="A66" t="inlineStr">
        <is>
          <t xml:space="preserve"> 수출비용(A)</t>
        </is>
      </c>
      <c r="B66" t="n">
        <v>72</v>
      </c>
      <c r="C66" t="n">
        <v>83</v>
      </c>
      <c r="D66" t="n">
        <v>36</v>
      </c>
      <c r="E66" t="n">
        <v>86</v>
      </c>
      <c r="F66" t="n">
        <v>57</v>
      </c>
      <c r="G66" t="n">
        <v>65</v>
      </c>
      <c r="H66" t="n">
        <v>108</v>
      </c>
      <c r="I66" t="n">
        <v>57</v>
      </c>
      <c r="J66" t="n">
        <v>59</v>
      </c>
      <c r="K66" t="n">
        <v>60</v>
      </c>
      <c r="L66" t="n">
        <v>107</v>
      </c>
      <c r="M66" t="n">
        <v>65</v>
      </c>
      <c r="N66">
        <f>SUM(B66:D66)</f>
        <v/>
      </c>
      <c r="O66">
        <f>SUM(E66:G66)</f>
        <v/>
      </c>
      <c r="P66">
        <f>SUM(H66:J66)</f>
        <v/>
      </c>
      <c r="Q66">
        <f>SUM(K66:M66)</f>
        <v/>
      </c>
      <c r="R66">
        <f>SUM(N66:O66)</f>
        <v/>
      </c>
      <c r="S66">
        <f>SUM(P66:Q66)</f>
        <v/>
      </c>
      <c r="T66">
        <f>R66+S66</f>
        <v/>
      </c>
    </row>
    <row r="67">
      <c r="A67" t="inlineStr">
        <is>
          <t xml:space="preserve"> 교육훈련비</t>
        </is>
      </c>
      <c r="B67" t="n">
        <v>19</v>
      </c>
      <c r="C67" t="n">
        <v>21</v>
      </c>
      <c r="D67" t="n">
        <v>8</v>
      </c>
      <c r="E67" t="n">
        <v>20</v>
      </c>
      <c r="F67" t="n">
        <v>13</v>
      </c>
      <c r="G67" t="n">
        <v>16</v>
      </c>
      <c r="H67" t="n">
        <v>23</v>
      </c>
      <c r="I67" t="n">
        <v>14</v>
      </c>
      <c r="J67" t="n">
        <v>10</v>
      </c>
      <c r="K67" t="n">
        <v>12</v>
      </c>
      <c r="L67" t="n">
        <v>22</v>
      </c>
      <c r="M67" t="n">
        <v>16</v>
      </c>
      <c r="N67">
        <f>SUM(B67:D67)</f>
        <v/>
      </c>
      <c r="O67">
        <f>SUM(E67:G67)</f>
        <v/>
      </c>
      <c r="P67">
        <f>SUM(H67:J67)</f>
        <v/>
      </c>
      <c r="Q67">
        <f>SUM(K67:M67)</f>
        <v/>
      </c>
      <c r="R67">
        <f>SUM(N67:O67)</f>
        <v/>
      </c>
      <c r="S67">
        <f>SUM(P67:Q67)</f>
        <v/>
      </c>
      <c r="T67">
        <f>R67+S67</f>
        <v/>
      </c>
    </row>
    <row r="68">
      <c r="A68" t="inlineStr">
        <is>
          <t xml:space="preserve"> 감가상각비</t>
        </is>
      </c>
      <c r="B68" t="n">
        <v>31</v>
      </c>
      <c r="C68" t="n">
        <v>28</v>
      </c>
      <c r="D68" t="n">
        <v>16</v>
      </c>
      <c r="E68" t="n">
        <v>27</v>
      </c>
      <c r="F68" t="n">
        <v>24</v>
      </c>
      <c r="G68" t="n">
        <v>28</v>
      </c>
      <c r="H68" t="n">
        <v>34</v>
      </c>
      <c r="I68" t="n">
        <v>24</v>
      </c>
      <c r="J68" t="n">
        <v>21</v>
      </c>
      <c r="K68" t="n">
        <v>20</v>
      </c>
      <c r="L68" t="n">
        <v>33</v>
      </c>
      <c r="M68" t="n">
        <v>23</v>
      </c>
      <c r="N68">
        <f>SUM(B68:D68)</f>
        <v/>
      </c>
      <c r="O68">
        <f>SUM(E68:G68)</f>
        <v/>
      </c>
      <c r="P68">
        <f>SUM(H68:J68)</f>
        <v/>
      </c>
      <c r="Q68">
        <f>SUM(K68:M68)</f>
        <v/>
      </c>
      <c r="R68">
        <f>SUM(N68:O68)</f>
        <v/>
      </c>
      <c r="S68">
        <f>SUM(P68:Q68)</f>
        <v/>
      </c>
      <c r="T68">
        <f>R68+S68</f>
        <v/>
      </c>
    </row>
    <row r="69">
      <c r="A69" t="inlineStr">
        <is>
          <t xml:space="preserve"> 무형자산상각비</t>
        </is>
      </c>
      <c r="B69" t="n">
        <v>9</v>
      </c>
      <c r="C69" t="n">
        <v>10</v>
      </c>
      <c r="D69" t="n">
        <v>4</v>
      </c>
      <c r="E69" t="n">
        <v>8</v>
      </c>
      <c r="F69" t="n">
        <v>6</v>
      </c>
      <c r="G69" t="n">
        <v>8</v>
      </c>
      <c r="H69" t="n">
        <v>10</v>
      </c>
      <c r="I69" t="n">
        <v>6</v>
      </c>
      <c r="J69" t="n">
        <v>5</v>
      </c>
      <c r="K69" t="n">
        <v>7</v>
      </c>
      <c r="L69" t="n">
        <v>10</v>
      </c>
      <c r="M69" t="n">
        <v>6</v>
      </c>
      <c r="N69">
        <f>SUM(B69:D69)</f>
        <v/>
      </c>
      <c r="O69">
        <f>SUM(E69:G69)</f>
        <v/>
      </c>
      <c r="P69">
        <f>SUM(H69:J69)</f>
        <v/>
      </c>
      <c r="Q69">
        <f>SUM(K69:M69)</f>
        <v/>
      </c>
      <c r="R69">
        <f>SUM(N69:O69)</f>
        <v/>
      </c>
      <c r="S69">
        <f>SUM(P69:Q69)</f>
        <v/>
      </c>
      <c r="T69">
        <f>R69+S69</f>
        <v/>
      </c>
    </row>
    <row r="70">
      <c r="A70" t="inlineStr">
        <is>
          <t xml:space="preserve"> 수선유지비</t>
        </is>
      </c>
      <c r="B70" t="n">
        <v>70</v>
      </c>
      <c r="C70" t="n">
        <v>70</v>
      </c>
      <c r="D70" t="n">
        <v>36</v>
      </c>
      <c r="E70" t="n">
        <v>74</v>
      </c>
      <c r="F70" t="n">
        <v>57</v>
      </c>
      <c r="G70" t="n">
        <v>47</v>
      </c>
      <c r="H70" t="n">
        <v>78</v>
      </c>
      <c r="I70" t="n">
        <v>42</v>
      </c>
      <c r="J70" t="n">
        <v>43</v>
      </c>
      <c r="K70" t="n">
        <v>52</v>
      </c>
      <c r="L70" t="n">
        <v>84</v>
      </c>
      <c r="M70" t="n">
        <v>44</v>
      </c>
      <c r="N70">
        <f>SUM(B70:D70)</f>
        <v/>
      </c>
      <c r="O70">
        <f>SUM(E70:G70)</f>
        <v/>
      </c>
      <c r="P70">
        <f>SUM(H70:J70)</f>
        <v/>
      </c>
      <c r="Q70">
        <f>SUM(K70:M70)</f>
        <v/>
      </c>
      <c r="R70">
        <f>SUM(N70:O70)</f>
        <v/>
      </c>
      <c r="S70">
        <f>SUM(P70:Q70)</f>
        <v/>
      </c>
      <c r="T70">
        <f>R70+S70</f>
        <v/>
      </c>
    </row>
    <row r="71">
      <c r="A71" t="inlineStr">
        <is>
          <t xml:space="preserve"> 보험료</t>
        </is>
      </c>
      <c r="B71" t="n">
        <v>56</v>
      </c>
      <c r="C71" t="n">
        <v>75</v>
      </c>
      <c r="D71" t="n">
        <v>35</v>
      </c>
      <c r="E71" t="n">
        <v>64</v>
      </c>
      <c r="F71" t="n">
        <v>49</v>
      </c>
      <c r="G71" t="n">
        <v>49</v>
      </c>
      <c r="H71" t="n">
        <v>89</v>
      </c>
      <c r="I71" t="n">
        <v>44</v>
      </c>
      <c r="J71" t="n">
        <v>47</v>
      </c>
      <c r="K71" t="n">
        <v>47</v>
      </c>
      <c r="L71" t="n">
        <v>66</v>
      </c>
      <c r="M71" t="n">
        <v>48</v>
      </c>
      <c r="N71">
        <f>SUM(B71:D71)</f>
        <v/>
      </c>
      <c r="O71">
        <f>SUM(E71:G71)</f>
        <v/>
      </c>
      <c r="P71">
        <f>SUM(H71:J71)</f>
        <v/>
      </c>
      <c r="Q71">
        <f>SUM(K71:M71)</f>
        <v/>
      </c>
      <c r="R71">
        <f>SUM(N71:O71)</f>
        <v/>
      </c>
      <c r="S71">
        <f>SUM(P71:Q71)</f>
        <v/>
      </c>
      <c r="T71">
        <f>R71+S71</f>
        <v/>
      </c>
    </row>
    <row r="72">
      <c r="A72" t="inlineStr">
        <is>
          <t xml:space="preserve"> 회의비</t>
        </is>
      </c>
      <c r="B72" t="n">
        <v>32</v>
      </c>
      <c r="C72" t="n">
        <v>44</v>
      </c>
      <c r="D72" t="n">
        <v>20</v>
      </c>
      <c r="E72" t="n">
        <v>33</v>
      </c>
      <c r="F72" t="n">
        <v>25</v>
      </c>
      <c r="G72" t="n">
        <v>30</v>
      </c>
      <c r="H72" t="n">
        <v>46</v>
      </c>
      <c r="I72" t="n">
        <v>27</v>
      </c>
      <c r="J72" t="n">
        <v>23</v>
      </c>
      <c r="K72" t="n">
        <v>25</v>
      </c>
      <c r="L72" t="n">
        <v>37</v>
      </c>
      <c r="M72" t="n">
        <v>29</v>
      </c>
      <c r="N72">
        <f>SUM(B72:D72)</f>
        <v/>
      </c>
      <c r="O72">
        <f>SUM(E72:G72)</f>
        <v/>
      </c>
      <c r="P72">
        <f>SUM(H72:J72)</f>
        <v/>
      </c>
      <c r="Q72">
        <f>SUM(K72:M72)</f>
        <v/>
      </c>
      <c r="R72">
        <f>SUM(N72:O72)</f>
        <v/>
      </c>
      <c r="S72">
        <f>SUM(P72:Q72)</f>
        <v/>
      </c>
      <c r="T72">
        <f>R72+S72</f>
        <v/>
      </c>
    </row>
    <row r="73">
      <c r="A73" t="inlineStr">
        <is>
          <t xml:space="preserve"> 시험설치비(A)</t>
        </is>
      </c>
      <c r="B73" t="n">
        <v>38</v>
      </c>
      <c r="C73" t="n">
        <v>38</v>
      </c>
      <c r="D73" t="n">
        <v>22</v>
      </c>
      <c r="E73" t="n">
        <v>50</v>
      </c>
      <c r="F73" t="n">
        <v>28</v>
      </c>
      <c r="G73" t="n">
        <v>32</v>
      </c>
      <c r="H73" t="n">
        <v>56</v>
      </c>
      <c r="I73" t="n">
        <v>28</v>
      </c>
      <c r="J73" t="n">
        <v>26</v>
      </c>
      <c r="K73" t="n">
        <v>30</v>
      </c>
      <c r="L73" t="n">
        <v>46</v>
      </c>
      <c r="M73" t="n">
        <v>34</v>
      </c>
      <c r="N73">
        <f>SUM(B73:D73)</f>
        <v/>
      </c>
      <c r="O73">
        <f>SUM(E73:G73)</f>
        <v/>
      </c>
      <c r="P73">
        <f>SUM(H73:J73)</f>
        <v/>
      </c>
      <c r="Q73">
        <f>SUM(K73:M73)</f>
        <v/>
      </c>
      <c r="R73">
        <f>SUM(N73:O73)</f>
        <v/>
      </c>
      <c r="S73">
        <f>SUM(P73:Q73)</f>
        <v/>
      </c>
      <c r="T73">
        <f>R73+S73</f>
        <v/>
      </c>
    </row>
    <row r="74">
      <c r="A74" t="inlineStr">
        <is>
          <t xml:space="preserve"> 경상연구개발비</t>
        </is>
      </c>
      <c r="B74" t="n">
        <v>62</v>
      </c>
      <c r="C74" t="n">
        <v>77</v>
      </c>
      <c r="D74" t="n">
        <v>38</v>
      </c>
      <c r="E74" t="n">
        <v>56</v>
      </c>
      <c r="F74" t="n">
        <v>50</v>
      </c>
      <c r="G74" t="n">
        <v>58</v>
      </c>
      <c r="H74" t="n">
        <v>89</v>
      </c>
      <c r="I74" t="n">
        <v>49</v>
      </c>
      <c r="J74" t="n">
        <v>43</v>
      </c>
      <c r="K74" t="n">
        <v>47</v>
      </c>
      <c r="L74" t="n">
        <v>72</v>
      </c>
      <c r="M74" t="n">
        <v>46</v>
      </c>
      <c r="N74">
        <f>SUM(B74:D74)</f>
        <v/>
      </c>
      <c r="O74">
        <f>SUM(E74:G74)</f>
        <v/>
      </c>
      <c r="P74">
        <f>SUM(H74:J74)</f>
        <v/>
      </c>
      <c r="Q74">
        <f>SUM(K74:M74)</f>
        <v/>
      </c>
      <c r="R74">
        <f>SUM(N74:O74)</f>
        <v/>
      </c>
      <c r="S74">
        <f>SUM(P74:Q74)</f>
        <v/>
      </c>
      <c r="T74">
        <f>R74+S74</f>
        <v/>
      </c>
    </row>
    <row r="75">
      <c r="A75" t="inlineStr">
        <is>
          <t xml:space="preserve"> 연구개발비(국책과제</t>
        </is>
      </c>
      <c r="B75" t="n">
        <v>70</v>
      </c>
      <c r="C75" t="n">
        <v>79</v>
      </c>
      <c r="D75" t="n">
        <v>39</v>
      </c>
      <c r="E75" t="n">
        <v>73</v>
      </c>
      <c r="F75" t="n">
        <v>48</v>
      </c>
      <c r="G75" t="n">
        <v>61</v>
      </c>
      <c r="H75" t="n">
        <v>90</v>
      </c>
      <c r="I75" t="n">
        <v>48</v>
      </c>
      <c r="J75" t="n">
        <v>46</v>
      </c>
      <c r="K75" t="n">
        <v>46</v>
      </c>
      <c r="L75" t="n">
        <v>81</v>
      </c>
      <c r="M75" t="n">
        <v>51</v>
      </c>
      <c r="N75">
        <f>SUM(B75:D75)</f>
        <v/>
      </c>
      <c r="O75">
        <f>SUM(E75:G75)</f>
        <v/>
      </c>
      <c r="P75">
        <f>SUM(H75:J75)</f>
        <v/>
      </c>
      <c r="Q75">
        <f>SUM(K75:M75)</f>
        <v/>
      </c>
      <c r="R75">
        <f>SUM(N75:O75)</f>
        <v/>
      </c>
      <c r="S75">
        <f>SUM(P75:Q75)</f>
        <v/>
      </c>
      <c r="T75">
        <f>R75+S75</f>
        <v/>
      </c>
    </row>
    <row r="76">
      <c r="A76" t="inlineStr">
        <is>
          <t xml:space="preserve"> 판매보증비</t>
        </is>
      </c>
      <c r="B76" t="n">
        <v>23</v>
      </c>
      <c r="C76" t="n">
        <v>28</v>
      </c>
      <c r="D76" t="n">
        <v>14</v>
      </c>
      <c r="E76" t="n">
        <v>33</v>
      </c>
      <c r="F76" t="n">
        <v>21</v>
      </c>
      <c r="G76" t="n">
        <v>23</v>
      </c>
      <c r="H76" t="n">
        <v>32</v>
      </c>
      <c r="I76" t="n">
        <v>18</v>
      </c>
      <c r="J76" t="n">
        <v>17</v>
      </c>
      <c r="K76" t="n">
        <v>18</v>
      </c>
      <c r="L76" t="n">
        <v>28</v>
      </c>
      <c r="M76" t="n">
        <v>24</v>
      </c>
      <c r="N76">
        <f>SUM(B76:D76)</f>
        <v/>
      </c>
      <c r="O76">
        <f>SUM(E76:G76)</f>
        <v/>
      </c>
      <c r="P76">
        <f>SUM(H76:J76)</f>
        <v/>
      </c>
      <c r="Q76">
        <f>SUM(K76:M76)</f>
        <v/>
      </c>
      <c r="R76">
        <f>SUM(N76:O76)</f>
        <v/>
      </c>
      <c r="S76">
        <f>SUM(P76:Q76)</f>
        <v/>
      </c>
      <c r="T76">
        <f>R76+S76</f>
        <v/>
      </c>
    </row>
    <row r="77">
      <c r="A77" t="inlineStr">
        <is>
          <t xml:space="preserve"> 대손충당금환입</t>
        </is>
      </c>
      <c r="B77" t="n">
        <v>76</v>
      </c>
      <c r="C77" t="n">
        <v>84</v>
      </c>
      <c r="D77" t="n">
        <v>42</v>
      </c>
      <c r="E77" t="n">
        <v>77</v>
      </c>
      <c r="F77" t="n">
        <v>55</v>
      </c>
      <c r="G77" t="n">
        <v>59</v>
      </c>
      <c r="H77" t="n">
        <v>94</v>
      </c>
      <c r="I77" t="n">
        <v>54</v>
      </c>
      <c r="J77" t="n">
        <v>56</v>
      </c>
      <c r="K77" t="n">
        <v>58</v>
      </c>
      <c r="L77" t="n">
        <v>107</v>
      </c>
      <c r="M77" t="n">
        <v>60</v>
      </c>
      <c r="N77">
        <f>SUM(B77:D77)</f>
        <v/>
      </c>
      <c r="O77">
        <f>SUM(E77:G77)</f>
        <v/>
      </c>
      <c r="P77">
        <f>SUM(H77:J77)</f>
        <v/>
      </c>
      <c r="Q77">
        <f>SUM(K77:M77)</f>
        <v/>
      </c>
      <c r="R77">
        <f>SUM(N77:O77)</f>
        <v/>
      </c>
      <c r="S77">
        <f>SUM(P77:Q77)</f>
        <v/>
      </c>
      <c r="T77">
        <f>R77+S77</f>
        <v/>
      </c>
    </row>
    <row r="78">
      <c r="A78" t="inlineStr">
        <is>
          <t xml:space="preserve"> 불량제품손실</t>
        </is>
      </c>
      <c r="B78" t="n">
        <v>40</v>
      </c>
      <c r="C78" t="n">
        <v>40</v>
      </c>
      <c r="D78" t="n">
        <v>17</v>
      </c>
      <c r="E78" t="n">
        <v>34</v>
      </c>
      <c r="F78" t="n">
        <v>29</v>
      </c>
      <c r="G78" t="n">
        <v>36</v>
      </c>
      <c r="H78" t="n">
        <v>44</v>
      </c>
      <c r="I78" t="n">
        <v>28</v>
      </c>
      <c r="J78" t="n">
        <v>24</v>
      </c>
      <c r="K78" t="n">
        <v>29</v>
      </c>
      <c r="L78" t="n">
        <v>38</v>
      </c>
      <c r="M78" t="n">
        <v>29</v>
      </c>
      <c r="N78">
        <f>SUM(B78:D78)</f>
        <v/>
      </c>
      <c r="O78">
        <f>SUM(E78:G78)</f>
        <v/>
      </c>
      <c r="P78">
        <f>SUM(H78:J78)</f>
        <v/>
      </c>
      <c r="Q78">
        <f>SUM(K78:M78)</f>
        <v/>
      </c>
      <c r="R78">
        <f>SUM(N78:O78)</f>
        <v/>
      </c>
      <c r="S78">
        <f>SUM(P78:Q78)</f>
        <v/>
      </c>
      <c r="T78">
        <f>R78+S78</f>
        <v/>
      </c>
    </row>
    <row r="79">
      <c r="A79" t="inlineStr">
        <is>
          <t xml:space="preserve"> 판관비_기타</t>
        </is>
      </c>
      <c r="B79" t="n">
        <v>66</v>
      </c>
      <c r="C79" t="n">
        <v>61</v>
      </c>
      <c r="D79" t="n">
        <v>29</v>
      </c>
      <c r="E79" t="n">
        <v>54</v>
      </c>
      <c r="F79" t="n">
        <v>42</v>
      </c>
      <c r="G79" t="n">
        <v>48</v>
      </c>
      <c r="H79" t="n">
        <v>81</v>
      </c>
      <c r="I79" t="n">
        <v>40</v>
      </c>
      <c r="J79" t="n">
        <v>39</v>
      </c>
      <c r="K79" t="n">
        <v>40</v>
      </c>
      <c r="L79" t="n">
        <v>74</v>
      </c>
      <c r="M79" t="n">
        <v>53</v>
      </c>
      <c r="N79">
        <f>SUM(B79:D79)</f>
        <v/>
      </c>
      <c r="O79">
        <f>SUM(E79:G79)</f>
        <v/>
      </c>
      <c r="P79">
        <f>SUM(H79:J79)</f>
        <v/>
      </c>
      <c r="Q79">
        <f>SUM(K79:M79)</f>
        <v/>
      </c>
      <c r="R79">
        <f>SUM(N79:O79)</f>
        <v/>
      </c>
      <c r="S79">
        <f>SUM(P79:Q79)</f>
        <v/>
      </c>
      <c r="T79">
        <f>R79+S79</f>
        <v/>
      </c>
    </row>
    <row r="80">
      <c r="A80" t="inlineStr">
        <is>
          <t xml:space="preserve"> 수출비용_해상운임(</t>
        </is>
      </c>
      <c r="B80" t="n">
        <v>22</v>
      </c>
      <c r="C80" t="n">
        <v>21</v>
      </c>
      <c r="D80" t="n">
        <v>12</v>
      </c>
      <c r="E80" t="n">
        <v>26</v>
      </c>
      <c r="F80" t="n">
        <v>17</v>
      </c>
      <c r="G80" t="n">
        <v>16</v>
      </c>
      <c r="H80" t="n">
        <v>30</v>
      </c>
      <c r="I80" t="n">
        <v>17</v>
      </c>
      <c r="J80" t="n">
        <v>14</v>
      </c>
      <c r="K80" t="n">
        <v>14</v>
      </c>
      <c r="L80" t="n">
        <v>24</v>
      </c>
      <c r="M80" t="n">
        <v>17</v>
      </c>
      <c r="N80">
        <f>SUM(B80:D80)</f>
        <v/>
      </c>
      <c r="O80">
        <f>SUM(E80:G80)</f>
        <v/>
      </c>
      <c r="P80">
        <f>SUM(H80:J80)</f>
        <v/>
      </c>
      <c r="Q80">
        <f>SUM(K80:M80)</f>
        <v/>
      </c>
      <c r="R80">
        <f>SUM(N80:O80)</f>
        <v/>
      </c>
      <c r="S80">
        <f>SUM(P80:Q80)</f>
        <v/>
      </c>
      <c r="T80">
        <f>R80+S80</f>
        <v/>
      </c>
    </row>
    <row r="81">
      <c r="A81" t="inlineStr">
        <is>
          <t xml:space="preserve"> 영업이익(A)</t>
        </is>
      </c>
      <c r="B81">
        <f>B41-B42</f>
        <v/>
      </c>
      <c r="C81">
        <f>C41-C42</f>
        <v/>
      </c>
      <c r="D81">
        <f>D41-D42</f>
        <v/>
      </c>
      <c r="E81">
        <f>E41-E42</f>
        <v/>
      </c>
      <c r="F81">
        <f>F41-F42</f>
        <v/>
      </c>
      <c r="G81">
        <f>G41-G42</f>
        <v/>
      </c>
      <c r="H81">
        <f>H41-H42</f>
        <v/>
      </c>
      <c r="I81">
        <f>I41-I42</f>
        <v/>
      </c>
      <c r="J81">
        <f>J41-J42</f>
        <v/>
      </c>
      <c r="K81">
        <f>K41-K42</f>
        <v/>
      </c>
      <c r="L81">
        <f>L41-L42</f>
        <v/>
      </c>
      <c r="M81">
        <f>M41-M42</f>
        <v/>
      </c>
      <c r="N81">
        <f>N41-N42</f>
        <v/>
      </c>
      <c r="O81">
        <f>O41-O42</f>
        <v/>
      </c>
      <c r="P81">
        <f>P41-P42</f>
        <v/>
      </c>
      <c r="Q81">
        <f>Q41-Q42</f>
        <v/>
      </c>
      <c r="R81">
        <f>R41-R42</f>
        <v/>
      </c>
      <c r="S81">
        <f>S41-S42</f>
        <v/>
      </c>
      <c r="T81">
        <f>T41-T42</f>
        <v/>
      </c>
    </row>
    <row r="82">
      <c r="B82">
        <f>IFERROR(B81/B5,0)</f>
        <v/>
      </c>
      <c r="C82">
        <f>IFERROR(C81/C5,0)</f>
        <v/>
      </c>
      <c r="D82">
        <f>IFERROR(D81/D5,0)</f>
        <v/>
      </c>
      <c r="E82">
        <f>IFERROR(E81/E5,0)</f>
        <v/>
      </c>
      <c r="F82">
        <f>IFERROR(F81/F5,0)</f>
        <v/>
      </c>
      <c r="G82">
        <f>IFERROR(G81/G5,0)</f>
        <v/>
      </c>
      <c r="H82">
        <f>IFERROR(H81/H5,0)</f>
        <v/>
      </c>
      <c r="I82">
        <f>IFERROR(I81/I5,0)</f>
        <v/>
      </c>
      <c r="J82">
        <f>IFERROR(J81/J5,0)</f>
        <v/>
      </c>
      <c r="K82">
        <f>IFERROR(K81/K5,0)</f>
        <v/>
      </c>
      <c r="L82">
        <f>IFERROR(L81/L5,0)</f>
        <v/>
      </c>
      <c r="M82">
        <f>IFERROR(M81/M5,0)</f>
        <v/>
      </c>
      <c r="N82">
        <f>IFERROR(N81/N5,0)</f>
        <v/>
      </c>
      <c r="O82">
        <f>IFERROR(O81/O5,0)</f>
        <v/>
      </c>
      <c r="P82">
        <f>IFERROR(P81/P5,0)</f>
        <v/>
      </c>
      <c r="Q82">
        <f>IFERROR(Q81/Q5,0)</f>
        <v/>
      </c>
      <c r="R82">
        <f>IFERROR(R81/R5,0)</f>
        <v/>
      </c>
      <c r="S82">
        <f>IFERROR(S81/S5,0)</f>
        <v/>
      </c>
      <c r="T82">
        <f>IFERROR(T81/T5,0)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 xml:space="preserve"> 1-4) 차량OE 연간 손익계산서 (단위 : 백만원)</t>
        </is>
      </c>
    </row>
    <row r="2">
      <c r="T2" t="inlineStr">
        <is>
          <t>(단위 : 대, 백만원)</t>
        </is>
      </c>
    </row>
    <row r="3">
      <c r="A3" s="2" t="inlineStr">
        <is>
          <t>구분</t>
        </is>
      </c>
      <c r="B3" s="2" t="inlineStr">
        <is>
          <t>1월</t>
        </is>
      </c>
      <c r="C3" s="2" t="inlineStr">
        <is>
          <t>2월</t>
        </is>
      </c>
      <c r="D3" s="2" t="inlineStr">
        <is>
          <t>3월</t>
        </is>
      </c>
      <c r="E3" s="2" t="inlineStr">
        <is>
          <t>4월</t>
        </is>
      </c>
      <c r="F3" s="2" t="inlineStr">
        <is>
          <t>5월</t>
        </is>
      </c>
      <c r="G3" s="2" t="inlineStr">
        <is>
          <t>6월</t>
        </is>
      </c>
      <c r="H3" s="2" t="inlineStr">
        <is>
          <t>7월</t>
        </is>
      </c>
      <c r="I3" s="2" t="inlineStr">
        <is>
          <t>8월</t>
        </is>
      </c>
      <c r="J3" s="2" t="inlineStr">
        <is>
          <t>9월</t>
        </is>
      </c>
      <c r="K3" s="2" t="inlineStr">
        <is>
          <t>10월</t>
        </is>
      </c>
      <c r="L3" s="2" t="inlineStr">
        <is>
          <t>11월</t>
        </is>
      </c>
      <c r="M3" s="2" t="inlineStr">
        <is>
          <t>12월</t>
        </is>
      </c>
      <c r="N3" s="2" t="inlineStr">
        <is>
          <t>1/4분기</t>
        </is>
      </c>
      <c r="O3" s="2" t="inlineStr">
        <is>
          <t>2/4분기</t>
        </is>
      </c>
      <c r="P3" s="2" t="inlineStr">
        <is>
          <t>3/4분기</t>
        </is>
      </c>
      <c r="Q3" s="2" t="inlineStr">
        <is>
          <t>4/4분기</t>
        </is>
      </c>
      <c r="R3" s="2" t="inlineStr">
        <is>
          <t>상반기</t>
        </is>
      </c>
      <c r="S3" s="2" t="inlineStr">
        <is>
          <t>하반기</t>
        </is>
      </c>
      <c r="T3" s="2" t="inlineStr">
        <is>
          <t>총계</t>
        </is>
      </c>
    </row>
    <row r="4">
      <c r="A4" t="inlineStr">
        <is>
          <t xml:space="preserve">   매출수량</t>
        </is>
      </c>
      <c r="B4" t="n">
        <v>10983</v>
      </c>
      <c r="C4" t="n">
        <v>51935</v>
      </c>
      <c r="D4" t="n">
        <v>31161</v>
      </c>
      <c r="E4" t="n">
        <v>11807</v>
      </c>
      <c r="F4" t="n">
        <v>23908</v>
      </c>
      <c r="G4" t="n">
        <v>31072</v>
      </c>
      <c r="H4" t="n">
        <v>31413</v>
      </c>
      <c r="I4" t="n">
        <v>59107</v>
      </c>
      <c r="J4" t="n">
        <v>11775</v>
      </c>
      <c r="K4" t="n">
        <v>52528</v>
      </c>
      <c r="L4" t="n">
        <v>41871</v>
      </c>
      <c r="M4" t="n">
        <v>36562</v>
      </c>
      <c r="N4">
        <f>SUM(B4:D4)</f>
        <v/>
      </c>
      <c r="O4">
        <f>SUM(E4:G4)</f>
        <v/>
      </c>
      <c r="P4">
        <f>SUM(H4:J4)</f>
        <v/>
      </c>
      <c r="Q4">
        <f>SUM(K4:M4)</f>
        <v/>
      </c>
      <c r="R4">
        <f>SUM(N4:O4)</f>
        <v/>
      </c>
      <c r="S4">
        <f>SUM(P4:Q4)</f>
        <v/>
      </c>
      <c r="T4">
        <f>R4+S4</f>
        <v/>
      </c>
    </row>
    <row r="5">
      <c r="A5" t="inlineStr">
        <is>
          <t xml:space="preserve"> 매출액(Total)</t>
        </is>
      </c>
      <c r="B5" t="n">
        <v>8534</v>
      </c>
      <c r="C5" t="n">
        <v>5859</v>
      </c>
      <c r="D5" t="n">
        <v>3941</v>
      </c>
      <c r="E5" t="n">
        <v>9787</v>
      </c>
      <c r="F5" t="n">
        <v>3744</v>
      </c>
      <c r="G5" t="n">
        <v>4428</v>
      </c>
      <c r="H5" t="n">
        <v>8480</v>
      </c>
      <c r="I5" t="n">
        <v>11099</v>
      </c>
      <c r="J5" t="n">
        <v>9546</v>
      </c>
      <c r="K5" t="n">
        <v>7210</v>
      </c>
      <c r="L5" t="n">
        <v>10591</v>
      </c>
      <c r="M5" t="n">
        <v>3222</v>
      </c>
      <c r="N5">
        <f>SUM(B5:D5)</f>
        <v/>
      </c>
      <c r="O5">
        <f>SUM(E5:G5)</f>
        <v/>
      </c>
      <c r="P5">
        <f>SUM(H5:J5)</f>
        <v/>
      </c>
      <c r="Q5">
        <f>SUM(K5:M5)</f>
        <v/>
      </c>
      <c r="R5">
        <f>SUM(N5:O5)</f>
        <v/>
      </c>
      <c r="S5">
        <f>SUM(P5:Q5)</f>
        <v/>
      </c>
      <c r="T5">
        <f>R5+S5</f>
        <v/>
      </c>
    </row>
    <row r="6">
      <c r="A6" t="inlineStr">
        <is>
          <t xml:space="preserve"> 매출원가(A)Tot</t>
        </is>
      </c>
      <c r="B6">
        <f>SUM(B8:B40)</f>
        <v/>
      </c>
      <c r="C6">
        <f>SUM(C8:C40)</f>
        <v/>
      </c>
      <c r="D6">
        <f>SUM(D8:D40)</f>
        <v/>
      </c>
      <c r="E6">
        <f>SUM(E8:E40)</f>
        <v/>
      </c>
      <c r="F6">
        <f>SUM(F8:F40)</f>
        <v/>
      </c>
      <c r="G6">
        <f>SUM(G8:G40)</f>
        <v/>
      </c>
      <c r="H6">
        <f>SUM(H8:H40)</f>
        <v/>
      </c>
      <c r="I6">
        <f>SUM(I8:I40)</f>
        <v/>
      </c>
      <c r="J6">
        <f>SUM(J8:J40)</f>
        <v/>
      </c>
      <c r="K6">
        <f>SUM(K8:K40)</f>
        <v/>
      </c>
      <c r="L6">
        <f>SUM(L8:L40)</f>
        <v/>
      </c>
      <c r="M6">
        <f>SUM(M8:M40)</f>
        <v/>
      </c>
      <c r="N6">
        <f>SUM(B6:D6)</f>
        <v/>
      </c>
      <c r="O6">
        <f>SUM(E6:G6)</f>
        <v/>
      </c>
      <c r="P6">
        <f>SUM(H6:J6)</f>
        <v/>
      </c>
      <c r="Q6">
        <f>SUM(K6:M6)</f>
        <v/>
      </c>
      <c r="R6">
        <f>SUM(N6:O6)</f>
        <v/>
      </c>
      <c r="S6">
        <f>SUM(P6:Q6)</f>
        <v/>
      </c>
      <c r="T6">
        <f>R6+S6</f>
        <v/>
      </c>
    </row>
    <row r="7">
      <c r="B7">
        <f>IFERROR(B6/B5,0)</f>
        <v/>
      </c>
      <c r="C7">
        <f>IFERROR(C6/C5,0)</f>
        <v/>
      </c>
      <c r="D7">
        <f>IFERROR(D6/D5,0)</f>
        <v/>
      </c>
      <c r="E7">
        <f>IFERROR(E6/E5,0)</f>
        <v/>
      </c>
      <c r="F7">
        <f>IFERROR(F6/F5,0)</f>
        <v/>
      </c>
      <c r="G7">
        <f>IFERROR(G6/G5,0)</f>
        <v/>
      </c>
      <c r="H7">
        <f>IFERROR(H6/H5,0)</f>
        <v/>
      </c>
      <c r="I7">
        <f>IFERROR(I6/I5,0)</f>
        <v/>
      </c>
      <c r="J7">
        <f>IFERROR(J6/J5,0)</f>
        <v/>
      </c>
      <c r="K7">
        <f>IFERROR(K6/K5,0)</f>
        <v/>
      </c>
      <c r="L7">
        <f>IFERROR(L6/L5,0)</f>
        <v/>
      </c>
      <c r="M7">
        <f>IFERROR(M6/M5,0)</f>
        <v/>
      </c>
      <c r="N7">
        <f>IFERROR(N6/N5,0)</f>
        <v/>
      </c>
      <c r="O7">
        <f>IFERROR(O6/O5,0)</f>
        <v/>
      </c>
      <c r="P7">
        <f>IFERROR(P6/P5,0)</f>
        <v/>
      </c>
      <c r="Q7">
        <f>IFERROR(Q6/Q5,0)</f>
        <v/>
      </c>
      <c r="R7">
        <f>IFERROR(R6/R5,0)</f>
        <v/>
      </c>
      <c r="S7">
        <f>IFERROR(S6/S5,0)</f>
        <v/>
      </c>
      <c r="T7">
        <f>IFERROR(T6/T5,0)</f>
        <v/>
      </c>
    </row>
    <row r="8">
      <c r="A8" t="inlineStr">
        <is>
          <t xml:space="preserve"> 상품매출원가</t>
        </is>
      </c>
      <c r="B8" t="n">
        <v>120</v>
      </c>
      <c r="C8" t="n">
        <v>71</v>
      </c>
      <c r="D8" t="n">
        <v>60</v>
      </c>
      <c r="E8" t="n">
        <v>155</v>
      </c>
      <c r="F8" t="n">
        <v>46</v>
      </c>
      <c r="G8" t="n">
        <v>64</v>
      </c>
      <c r="H8" t="n">
        <v>114</v>
      </c>
      <c r="I8" t="n">
        <v>176</v>
      </c>
      <c r="J8" t="n">
        <v>149</v>
      </c>
      <c r="K8" t="n">
        <v>104</v>
      </c>
      <c r="L8" t="n">
        <v>130</v>
      </c>
      <c r="M8" t="n">
        <v>45</v>
      </c>
      <c r="N8">
        <f>SUM(B8:D8)</f>
        <v/>
      </c>
      <c r="O8">
        <f>SUM(E8:G8)</f>
        <v/>
      </c>
      <c r="P8">
        <f>SUM(H8:J8)</f>
        <v/>
      </c>
      <c r="Q8">
        <f>SUM(K8:M8)</f>
        <v/>
      </c>
      <c r="R8">
        <f>SUM(N8:O8)</f>
        <v/>
      </c>
      <c r="S8">
        <f>SUM(P8:Q8)</f>
        <v/>
      </c>
      <c r="T8">
        <f>R8+S8</f>
        <v/>
      </c>
    </row>
    <row r="9">
      <c r="A9" t="inlineStr">
        <is>
          <t xml:space="preserve"> 재고실사차이</t>
        </is>
      </c>
      <c r="B9" t="n">
        <v>201</v>
      </c>
      <c r="C9" t="n">
        <v>164</v>
      </c>
      <c r="D9" t="n">
        <v>95</v>
      </c>
      <c r="E9" t="n">
        <v>261</v>
      </c>
      <c r="F9" t="n">
        <v>104</v>
      </c>
      <c r="G9" t="n">
        <v>128</v>
      </c>
      <c r="H9" t="n">
        <v>244</v>
      </c>
      <c r="I9" t="n">
        <v>318</v>
      </c>
      <c r="J9" t="n">
        <v>268</v>
      </c>
      <c r="K9" t="n">
        <v>188</v>
      </c>
      <c r="L9" t="n">
        <v>262</v>
      </c>
      <c r="M9" t="n">
        <v>89</v>
      </c>
      <c r="N9">
        <f>SUM(B9:D9)</f>
        <v/>
      </c>
      <c r="O9">
        <f>SUM(E9:G9)</f>
        <v/>
      </c>
      <c r="P9">
        <f>SUM(H9:J9)</f>
        <v/>
      </c>
      <c r="Q9">
        <f>SUM(K9:M9)</f>
        <v/>
      </c>
      <c r="R9">
        <f>SUM(N9:O9)</f>
        <v/>
      </c>
      <c r="S9">
        <f>SUM(P9:Q9)</f>
        <v/>
      </c>
      <c r="T9">
        <f>R9+S9</f>
        <v/>
      </c>
    </row>
    <row r="10">
      <c r="A10" t="inlineStr">
        <is>
          <t xml:space="preserve"> 환불부채</t>
        </is>
      </c>
      <c r="B10" t="n">
        <v>115</v>
      </c>
      <c r="C10" t="n">
        <v>89</v>
      </c>
      <c r="D10" t="n">
        <v>49</v>
      </c>
      <c r="E10" t="n">
        <v>151</v>
      </c>
      <c r="F10" t="n">
        <v>58</v>
      </c>
      <c r="G10" t="n">
        <v>59</v>
      </c>
      <c r="H10" t="n">
        <v>106</v>
      </c>
      <c r="I10" t="n">
        <v>165</v>
      </c>
      <c r="J10" t="n">
        <v>112</v>
      </c>
      <c r="K10" t="n">
        <v>104</v>
      </c>
      <c r="L10" t="n">
        <v>124</v>
      </c>
      <c r="M10" t="n">
        <v>48</v>
      </c>
      <c r="N10">
        <f>SUM(B10:D10)</f>
        <v/>
      </c>
      <c r="O10">
        <f>SUM(E10:G10)</f>
        <v/>
      </c>
      <c r="P10">
        <f>SUM(H10:J10)</f>
        <v/>
      </c>
      <c r="Q10">
        <f>SUM(K10:M10)</f>
        <v/>
      </c>
      <c r="R10">
        <f>SUM(N10:O10)</f>
        <v/>
      </c>
      <c r="S10">
        <f>SUM(P10:Q10)</f>
        <v/>
      </c>
      <c r="T10">
        <f>R10+S10</f>
        <v/>
      </c>
    </row>
    <row r="11">
      <c r="A11" t="inlineStr">
        <is>
          <t xml:space="preserve"> 평가손실</t>
        </is>
      </c>
      <c r="B11" t="n">
        <v>166</v>
      </c>
      <c r="C11" t="n">
        <v>107</v>
      </c>
      <c r="D11" t="n">
        <v>65</v>
      </c>
      <c r="E11" t="n">
        <v>156</v>
      </c>
      <c r="F11" t="n">
        <v>63</v>
      </c>
      <c r="G11" t="n">
        <v>86</v>
      </c>
      <c r="H11" t="n">
        <v>142</v>
      </c>
      <c r="I11" t="n">
        <v>202</v>
      </c>
      <c r="J11" t="n">
        <v>183</v>
      </c>
      <c r="K11" t="n">
        <v>107</v>
      </c>
      <c r="L11" t="n">
        <v>157</v>
      </c>
      <c r="M11" t="n">
        <v>59</v>
      </c>
      <c r="N11">
        <f>SUM(B11:D11)</f>
        <v/>
      </c>
      <c r="O11">
        <f>SUM(E11:G11)</f>
        <v/>
      </c>
      <c r="P11">
        <f>SUM(H11:J11)</f>
        <v/>
      </c>
      <c r="Q11">
        <f>SUM(K11:M11)</f>
        <v/>
      </c>
      <c r="R11">
        <f>SUM(N11:O11)</f>
        <v/>
      </c>
      <c r="S11">
        <f>SUM(P11:Q11)</f>
        <v/>
      </c>
      <c r="T11">
        <f>R11+S11</f>
        <v/>
      </c>
    </row>
    <row r="12">
      <c r="A12" t="inlineStr">
        <is>
          <t xml:space="preserve"> 관세환급</t>
        </is>
      </c>
      <c r="B12" t="n">
        <v>219</v>
      </c>
      <c r="C12" t="n">
        <v>156</v>
      </c>
      <c r="D12" t="n">
        <v>104</v>
      </c>
      <c r="E12" t="n">
        <v>267</v>
      </c>
      <c r="F12" t="n">
        <v>97</v>
      </c>
      <c r="G12" t="n">
        <v>137</v>
      </c>
      <c r="H12" t="n">
        <v>236</v>
      </c>
      <c r="I12" t="n">
        <v>354</v>
      </c>
      <c r="J12" t="n">
        <v>289</v>
      </c>
      <c r="K12" t="n">
        <v>199</v>
      </c>
      <c r="L12" t="n">
        <v>333</v>
      </c>
      <c r="M12" t="n">
        <v>97</v>
      </c>
      <c r="N12">
        <f>SUM(B12:D12)</f>
        <v/>
      </c>
      <c r="O12">
        <f>SUM(E12:G12)</f>
        <v/>
      </c>
      <c r="P12">
        <f>SUM(H12:J12)</f>
        <v/>
      </c>
      <c r="Q12">
        <f>SUM(K12:M12)</f>
        <v/>
      </c>
      <c r="R12">
        <f>SUM(N12:O12)</f>
        <v/>
      </c>
      <c r="S12">
        <f>SUM(P12:Q12)</f>
        <v/>
      </c>
      <c r="T12">
        <f>R12+S12</f>
        <v/>
      </c>
    </row>
    <row r="13">
      <c r="A13" t="inlineStr">
        <is>
          <t xml:space="preserve"> 매출원가조정기타</t>
        </is>
      </c>
      <c r="B13" t="n">
        <v>313</v>
      </c>
      <c r="C13" t="n">
        <v>169</v>
      </c>
      <c r="D13" t="n">
        <v>120</v>
      </c>
      <c r="E13" t="n">
        <v>277</v>
      </c>
      <c r="F13" t="n">
        <v>103</v>
      </c>
      <c r="G13" t="n">
        <v>159</v>
      </c>
      <c r="H13" t="n">
        <v>253</v>
      </c>
      <c r="I13" t="n">
        <v>339</v>
      </c>
      <c r="J13" t="n">
        <v>319</v>
      </c>
      <c r="K13" t="n">
        <v>265</v>
      </c>
      <c r="L13" t="n">
        <v>313</v>
      </c>
      <c r="M13" t="n">
        <v>90</v>
      </c>
      <c r="N13">
        <f>SUM(B13:D13)</f>
        <v/>
      </c>
      <c r="O13">
        <f>SUM(E13:G13)</f>
        <v/>
      </c>
      <c r="P13">
        <f>SUM(H13:J13)</f>
        <v/>
      </c>
      <c r="Q13">
        <f>SUM(K13:M13)</f>
        <v/>
      </c>
      <c r="R13">
        <f>SUM(N13:O13)</f>
        <v/>
      </c>
      <c r="S13">
        <f>SUM(P13:Q13)</f>
        <v/>
      </c>
      <c r="T13">
        <f>R13+S13</f>
        <v/>
      </c>
    </row>
    <row r="14">
      <c r="A14" t="inlineStr">
        <is>
          <t xml:space="preserve"> 원재료비_순연</t>
        </is>
      </c>
      <c r="B14" t="n">
        <v>75</v>
      </c>
      <c r="C14" t="n">
        <v>53</v>
      </c>
      <c r="D14" t="n">
        <v>34</v>
      </c>
      <c r="E14" t="n">
        <v>69</v>
      </c>
      <c r="F14" t="n">
        <v>33</v>
      </c>
      <c r="G14" t="n">
        <v>35</v>
      </c>
      <c r="H14" t="n">
        <v>68</v>
      </c>
      <c r="I14" t="n">
        <v>80</v>
      </c>
      <c r="J14" t="n">
        <v>88</v>
      </c>
      <c r="K14" t="n">
        <v>62</v>
      </c>
      <c r="L14" t="n">
        <v>94</v>
      </c>
      <c r="M14" t="n">
        <v>23</v>
      </c>
      <c r="N14">
        <f>SUM(B14:D14)</f>
        <v/>
      </c>
      <c r="O14">
        <f>SUM(E14:G14)</f>
        <v/>
      </c>
      <c r="P14">
        <f>SUM(H14:J14)</f>
        <v/>
      </c>
      <c r="Q14">
        <f>SUM(K14:M14)</f>
        <v/>
      </c>
      <c r="R14">
        <f>SUM(N14:O14)</f>
        <v/>
      </c>
      <c r="S14">
        <f>SUM(P14:Q14)</f>
        <v/>
      </c>
      <c r="T14">
        <f>R14+S14</f>
        <v/>
      </c>
    </row>
    <row r="15">
      <c r="A15" t="inlineStr">
        <is>
          <t xml:space="preserve"> 원재료(LOSS_순연)</t>
        </is>
      </c>
      <c r="B15" t="n">
        <v>31</v>
      </c>
      <c r="C15" t="n">
        <v>17</v>
      </c>
      <c r="D15" t="n">
        <v>12</v>
      </c>
      <c r="E15" t="n">
        <v>31</v>
      </c>
      <c r="F15" t="n">
        <v>11</v>
      </c>
      <c r="G15" t="n">
        <v>15</v>
      </c>
      <c r="H15" t="n">
        <v>27</v>
      </c>
      <c r="I15" t="n">
        <v>35</v>
      </c>
      <c r="J15" t="n">
        <v>30</v>
      </c>
      <c r="K15" t="n">
        <v>24</v>
      </c>
      <c r="L15" t="n">
        <v>36</v>
      </c>
      <c r="M15" t="n">
        <v>10</v>
      </c>
      <c r="N15">
        <f>SUM(B15:D15)</f>
        <v/>
      </c>
      <c r="O15">
        <f>SUM(E15:G15)</f>
        <v/>
      </c>
      <c r="P15">
        <f>SUM(H15:J15)</f>
        <v/>
      </c>
      <c r="Q15">
        <f>SUM(K15:M15)</f>
        <v/>
      </c>
      <c r="R15">
        <f>SUM(N15:O15)</f>
        <v/>
      </c>
      <c r="S15">
        <f>SUM(P15:Q15)</f>
        <v/>
      </c>
      <c r="T15">
        <f>R15+S15</f>
        <v/>
      </c>
    </row>
    <row r="16">
      <c r="A16" t="inlineStr">
        <is>
          <t xml:space="preserve"> 원재료비_경연</t>
        </is>
      </c>
      <c r="B16" t="n">
        <v>82</v>
      </c>
      <c r="C16" t="n">
        <v>66</v>
      </c>
      <c r="D16" t="n">
        <v>41</v>
      </c>
      <c r="E16" t="n">
        <v>90</v>
      </c>
      <c r="F16" t="n">
        <v>39</v>
      </c>
      <c r="G16" t="n">
        <v>38</v>
      </c>
      <c r="H16" t="n">
        <v>76</v>
      </c>
      <c r="I16" t="n">
        <v>115</v>
      </c>
      <c r="J16" t="n">
        <v>98</v>
      </c>
      <c r="K16" t="n">
        <v>77</v>
      </c>
      <c r="L16" t="n">
        <v>114</v>
      </c>
      <c r="M16" t="n">
        <v>28</v>
      </c>
      <c r="N16">
        <f>SUM(B16:D16)</f>
        <v/>
      </c>
      <c r="O16">
        <f>SUM(E16:G16)</f>
        <v/>
      </c>
      <c r="P16">
        <f>SUM(H16:J16)</f>
        <v/>
      </c>
      <c r="Q16">
        <f>SUM(K16:M16)</f>
        <v/>
      </c>
      <c r="R16">
        <f>SUM(N16:O16)</f>
        <v/>
      </c>
      <c r="S16">
        <f>SUM(P16:Q16)</f>
        <v/>
      </c>
      <c r="T16">
        <f>R16+S16</f>
        <v/>
      </c>
    </row>
    <row r="17">
      <c r="A17" t="inlineStr">
        <is>
          <t xml:space="preserve"> 원재료(LOSS_경연)</t>
        </is>
      </c>
      <c r="B17" t="n">
        <v>204</v>
      </c>
      <c r="C17" t="n">
        <v>109</v>
      </c>
      <c r="D17" t="n">
        <v>75</v>
      </c>
      <c r="E17" t="n">
        <v>238</v>
      </c>
      <c r="F17" t="n">
        <v>92</v>
      </c>
      <c r="G17" t="n">
        <v>96</v>
      </c>
      <c r="H17" t="n">
        <v>155</v>
      </c>
      <c r="I17" t="n">
        <v>218</v>
      </c>
      <c r="J17" t="n">
        <v>207</v>
      </c>
      <c r="K17" t="n">
        <v>161</v>
      </c>
      <c r="L17" t="n">
        <v>230</v>
      </c>
      <c r="M17" t="n">
        <v>79</v>
      </c>
      <c r="N17">
        <f>SUM(B17:D17)</f>
        <v/>
      </c>
      <c r="O17">
        <f>SUM(E17:G17)</f>
        <v/>
      </c>
      <c r="P17">
        <f>SUM(H17:J17)</f>
        <v/>
      </c>
      <c r="Q17">
        <f>SUM(K17:M17)</f>
        <v/>
      </c>
      <c r="R17">
        <f>SUM(N17:O17)</f>
        <v/>
      </c>
      <c r="S17">
        <f>SUM(P17:Q17)</f>
        <v/>
      </c>
      <c r="T17">
        <f>R17+S17</f>
        <v/>
      </c>
    </row>
    <row r="18">
      <c r="A18" t="inlineStr">
        <is>
          <t xml:space="preserve"> 원재료비_칼슘연</t>
        </is>
      </c>
      <c r="B18" t="n">
        <v>280</v>
      </c>
      <c r="C18" t="n">
        <v>210</v>
      </c>
      <c r="D18" t="n">
        <v>146</v>
      </c>
      <c r="E18" t="n">
        <v>278</v>
      </c>
      <c r="F18" t="n">
        <v>139</v>
      </c>
      <c r="G18" t="n">
        <v>159</v>
      </c>
      <c r="H18" t="n">
        <v>315</v>
      </c>
      <c r="I18" t="n">
        <v>331</v>
      </c>
      <c r="J18" t="n">
        <v>271</v>
      </c>
      <c r="K18" t="n">
        <v>249</v>
      </c>
      <c r="L18" t="n">
        <v>294</v>
      </c>
      <c r="M18" t="n">
        <v>97</v>
      </c>
      <c r="N18">
        <f>SUM(B18:D18)</f>
        <v/>
      </c>
      <c r="O18">
        <f>SUM(E18:G18)</f>
        <v/>
      </c>
      <c r="P18">
        <f>SUM(H18:J18)</f>
        <v/>
      </c>
      <c r="Q18">
        <f>SUM(K18:M18)</f>
        <v/>
      </c>
      <c r="R18">
        <f>SUM(N18:O18)</f>
        <v/>
      </c>
      <c r="S18">
        <f>SUM(P18:Q18)</f>
        <v/>
      </c>
      <c r="T18">
        <f>R18+S18</f>
        <v/>
      </c>
    </row>
    <row r="19">
      <c r="A19" t="inlineStr">
        <is>
          <t xml:space="preserve"> 원재료(LOSS_칼슘연)</t>
        </is>
      </c>
      <c r="B19" t="n">
        <v>149</v>
      </c>
      <c r="C19" t="n">
        <v>81</v>
      </c>
      <c r="D19" t="n">
        <v>52</v>
      </c>
      <c r="E19" t="n">
        <v>163</v>
      </c>
      <c r="F19" t="n">
        <v>65</v>
      </c>
      <c r="G19" t="n">
        <v>63</v>
      </c>
      <c r="H19" t="n">
        <v>123</v>
      </c>
      <c r="I19" t="n">
        <v>146</v>
      </c>
      <c r="J19" t="n">
        <v>144</v>
      </c>
      <c r="K19" t="n">
        <v>103</v>
      </c>
      <c r="L19" t="n">
        <v>154</v>
      </c>
      <c r="M19" t="n">
        <v>48</v>
      </c>
      <c r="N19">
        <f>SUM(B19:D19)</f>
        <v/>
      </c>
      <c r="O19">
        <f>SUM(E19:G19)</f>
        <v/>
      </c>
      <c r="P19">
        <f>SUM(H19:J19)</f>
        <v/>
      </c>
      <c r="Q19">
        <f>SUM(K19:M19)</f>
        <v/>
      </c>
      <c r="R19">
        <f>SUM(N19:O19)</f>
        <v/>
      </c>
      <c r="S19">
        <f>SUM(P19:Q19)</f>
        <v/>
      </c>
      <c r="T19">
        <f>R19+S19</f>
        <v/>
      </c>
    </row>
    <row r="20">
      <c r="A20" t="inlineStr">
        <is>
          <t xml:space="preserve"> 원재료비_니켈(A)</t>
        </is>
      </c>
      <c r="B20" t="n">
        <v>151</v>
      </c>
      <c r="C20" t="n">
        <v>97</v>
      </c>
      <c r="D20" t="n">
        <v>57</v>
      </c>
      <c r="E20" t="n">
        <v>148</v>
      </c>
      <c r="F20" t="n">
        <v>58</v>
      </c>
      <c r="G20" t="n">
        <v>66</v>
      </c>
      <c r="H20" t="n">
        <v>117</v>
      </c>
      <c r="I20" t="n">
        <v>185</v>
      </c>
      <c r="J20" t="n">
        <v>164</v>
      </c>
      <c r="K20" t="n">
        <v>121</v>
      </c>
      <c r="L20" t="n">
        <v>183</v>
      </c>
      <c r="M20" t="n">
        <v>52</v>
      </c>
      <c r="N20">
        <f>SUM(B20:D20)</f>
        <v/>
      </c>
      <c r="O20">
        <f>SUM(E20:G20)</f>
        <v/>
      </c>
      <c r="P20">
        <f>SUM(H20:J20)</f>
        <v/>
      </c>
      <c r="Q20">
        <f>SUM(K20:M20)</f>
        <v/>
      </c>
      <c r="R20">
        <f>SUM(N20:O20)</f>
        <v/>
      </c>
      <c r="S20">
        <f>SUM(P20:Q20)</f>
        <v/>
      </c>
      <c r="T20">
        <f>R20+S20</f>
        <v/>
      </c>
    </row>
    <row r="21">
      <c r="A21" t="inlineStr">
        <is>
          <t xml:space="preserve"> 원재료비_리튬(A)</t>
        </is>
      </c>
      <c r="B21" t="n">
        <v>117</v>
      </c>
      <c r="C21" t="n">
        <v>87</v>
      </c>
      <c r="D21" t="n">
        <v>67</v>
      </c>
      <c r="E21" t="n">
        <v>153</v>
      </c>
      <c r="F21" t="n">
        <v>59</v>
      </c>
      <c r="G21" t="n">
        <v>75</v>
      </c>
      <c r="H21" t="n">
        <v>138</v>
      </c>
      <c r="I21" t="n">
        <v>172</v>
      </c>
      <c r="J21" t="n">
        <v>124</v>
      </c>
      <c r="K21" t="n">
        <v>111</v>
      </c>
      <c r="L21" t="n">
        <v>135</v>
      </c>
      <c r="M21" t="n">
        <v>51</v>
      </c>
      <c r="N21">
        <f>SUM(B21:D21)</f>
        <v/>
      </c>
      <c r="O21">
        <f>SUM(E21:G21)</f>
        <v/>
      </c>
      <c r="P21">
        <f>SUM(H21:J21)</f>
        <v/>
      </c>
      <c r="Q21">
        <f>SUM(K21:M21)</f>
        <v/>
      </c>
      <c r="R21">
        <f>SUM(N21:O21)</f>
        <v/>
      </c>
      <c r="S21">
        <f>SUM(P21:Q21)</f>
        <v/>
      </c>
      <c r="T21">
        <f>R21+S21</f>
        <v/>
      </c>
    </row>
    <row r="22">
      <c r="A22" t="inlineStr">
        <is>
          <t xml:space="preserve"> 주재료비_전조(A)</t>
        </is>
      </c>
      <c r="B22" t="n">
        <v>222</v>
      </c>
      <c r="C22" t="n">
        <v>160</v>
      </c>
      <c r="D22" t="n">
        <v>111</v>
      </c>
      <c r="E22" t="n">
        <v>258</v>
      </c>
      <c r="F22" t="n">
        <v>105</v>
      </c>
      <c r="G22" t="n">
        <v>117</v>
      </c>
      <c r="H22" t="n">
        <v>232</v>
      </c>
      <c r="I22" t="n">
        <v>295</v>
      </c>
      <c r="J22" t="n">
        <v>267</v>
      </c>
      <c r="K22" t="n">
        <v>191</v>
      </c>
      <c r="L22" t="n">
        <v>270</v>
      </c>
      <c r="M22" t="n">
        <v>88</v>
      </c>
      <c r="N22">
        <f>SUM(B22:D22)</f>
        <v/>
      </c>
      <c r="O22">
        <f>SUM(E22:G22)</f>
        <v/>
      </c>
      <c r="P22">
        <f>SUM(H22:J22)</f>
        <v/>
      </c>
      <c r="Q22">
        <f>SUM(K22:M22)</f>
        <v/>
      </c>
      <c r="R22">
        <f>SUM(N22:O22)</f>
        <v/>
      </c>
      <c r="S22">
        <f>SUM(P22:Q22)</f>
        <v/>
      </c>
      <c r="T22">
        <f>R22+S22</f>
        <v/>
      </c>
    </row>
    <row r="23">
      <c r="A23" t="inlineStr">
        <is>
          <t xml:space="preserve"> 주재료비_카바(A)</t>
        </is>
      </c>
      <c r="B23" t="n">
        <v>275</v>
      </c>
      <c r="C23" t="n">
        <v>215</v>
      </c>
      <c r="D23" t="n">
        <v>143</v>
      </c>
      <c r="E23" t="n">
        <v>363</v>
      </c>
      <c r="F23" t="n">
        <v>120</v>
      </c>
      <c r="G23" t="n">
        <v>129</v>
      </c>
      <c r="H23" t="n">
        <v>324</v>
      </c>
      <c r="I23" t="n">
        <v>345</v>
      </c>
      <c r="J23" t="n">
        <v>334</v>
      </c>
      <c r="K23" t="n">
        <v>264</v>
      </c>
      <c r="L23" t="n">
        <v>308</v>
      </c>
      <c r="M23" t="n">
        <v>117</v>
      </c>
      <c r="N23">
        <f>SUM(B23:D23)</f>
        <v/>
      </c>
      <c r="O23">
        <f>SUM(E23:G23)</f>
        <v/>
      </c>
      <c r="P23">
        <f>SUM(H23:J23)</f>
        <v/>
      </c>
      <c r="Q23">
        <f>SUM(K23:M23)</f>
        <v/>
      </c>
      <c r="R23">
        <f>SUM(N23:O23)</f>
        <v/>
      </c>
      <c r="S23">
        <f>SUM(P23:Q23)</f>
        <v/>
      </c>
      <c r="T23">
        <f>R23+S23</f>
        <v/>
      </c>
    </row>
    <row r="24">
      <c r="A24" t="inlineStr">
        <is>
          <t xml:space="preserve"> 주재료비_격리판(A</t>
        </is>
      </c>
      <c r="B24" t="n">
        <v>72</v>
      </c>
      <c r="C24" t="n">
        <v>53</v>
      </c>
      <c r="D24" t="n">
        <v>34</v>
      </c>
      <c r="E24" t="n">
        <v>73</v>
      </c>
      <c r="F24" t="n">
        <v>33</v>
      </c>
      <c r="G24" t="n">
        <v>39</v>
      </c>
      <c r="H24" t="n">
        <v>65</v>
      </c>
      <c r="I24" t="n">
        <v>91</v>
      </c>
      <c r="J24" t="n">
        <v>78</v>
      </c>
      <c r="K24" t="n">
        <v>66</v>
      </c>
      <c r="L24" t="n">
        <v>74</v>
      </c>
      <c r="M24" t="n">
        <v>28</v>
      </c>
      <c r="N24">
        <f>SUM(B24:D24)</f>
        <v/>
      </c>
      <c r="O24">
        <f>SUM(E24:G24)</f>
        <v/>
      </c>
      <c r="P24">
        <f>SUM(H24:J24)</f>
        <v/>
      </c>
      <c r="Q24">
        <f>SUM(K24:M24)</f>
        <v/>
      </c>
      <c r="R24">
        <f>SUM(N24:O24)</f>
        <v/>
      </c>
      <c r="S24">
        <f>SUM(P24:Q24)</f>
        <v/>
      </c>
      <c r="T24">
        <f>R24+S24</f>
        <v/>
      </c>
    </row>
    <row r="25">
      <c r="A25" t="inlineStr">
        <is>
          <t xml:space="preserve"> 부재료비(A)</t>
        </is>
      </c>
      <c r="B25" t="n">
        <v>307</v>
      </c>
      <c r="C25" t="n">
        <v>200</v>
      </c>
      <c r="D25" t="n">
        <v>133</v>
      </c>
      <c r="E25" t="n">
        <v>352</v>
      </c>
      <c r="F25" t="n">
        <v>148</v>
      </c>
      <c r="G25" t="n">
        <v>149</v>
      </c>
      <c r="H25" t="n">
        <v>334</v>
      </c>
      <c r="I25" t="n">
        <v>376</v>
      </c>
      <c r="J25" t="n">
        <v>406</v>
      </c>
      <c r="K25" t="n">
        <v>299</v>
      </c>
      <c r="L25" t="n">
        <v>416</v>
      </c>
      <c r="M25" t="n">
        <v>136</v>
      </c>
      <c r="N25">
        <f>SUM(B25:D25)</f>
        <v/>
      </c>
      <c r="O25">
        <f>SUM(E25:G25)</f>
        <v/>
      </c>
      <c r="P25">
        <f>SUM(H25:J25)</f>
        <v/>
      </c>
      <c r="Q25">
        <f>SUM(K25:M25)</f>
        <v/>
      </c>
      <c r="R25">
        <f>SUM(N25:O25)</f>
        <v/>
      </c>
      <c r="S25">
        <f>SUM(P25:Q25)</f>
        <v/>
      </c>
      <c r="T25">
        <f>R25+S25</f>
        <v/>
      </c>
    </row>
    <row r="26">
      <c r="A26" t="inlineStr">
        <is>
          <t xml:space="preserve"> 포장비(A)</t>
        </is>
      </c>
      <c r="B26" t="n">
        <v>186</v>
      </c>
      <c r="C26" t="n">
        <v>129</v>
      </c>
      <c r="D26" t="n">
        <v>101</v>
      </c>
      <c r="E26" t="n">
        <v>221</v>
      </c>
      <c r="F26" t="n">
        <v>84</v>
      </c>
      <c r="G26" t="n">
        <v>108</v>
      </c>
      <c r="H26" t="n">
        <v>188</v>
      </c>
      <c r="I26" t="n">
        <v>245</v>
      </c>
      <c r="J26" t="n">
        <v>231</v>
      </c>
      <c r="K26" t="n">
        <v>167</v>
      </c>
      <c r="L26" t="n">
        <v>230</v>
      </c>
      <c r="M26" t="n">
        <v>78</v>
      </c>
      <c r="N26">
        <f>SUM(B26:D26)</f>
        <v/>
      </c>
      <c r="O26">
        <f>SUM(E26:G26)</f>
        <v/>
      </c>
      <c r="P26">
        <f>SUM(H26:J26)</f>
        <v/>
      </c>
      <c r="Q26">
        <f>SUM(K26:M26)</f>
        <v/>
      </c>
      <c r="R26">
        <f>SUM(N26:O26)</f>
        <v/>
      </c>
      <c r="S26">
        <f>SUM(P26:Q26)</f>
        <v/>
      </c>
      <c r="T26">
        <f>R26+S26</f>
        <v/>
      </c>
    </row>
    <row r="27">
      <c r="A27" t="inlineStr">
        <is>
          <t xml:space="preserve"> 부대품재료비(A)</t>
        </is>
      </c>
      <c r="B27" t="n">
        <v>86</v>
      </c>
      <c r="C27" t="n">
        <v>59</v>
      </c>
      <c r="D27" t="n">
        <v>42</v>
      </c>
      <c r="E27" t="n">
        <v>93</v>
      </c>
      <c r="F27" t="n">
        <v>42</v>
      </c>
      <c r="G27" t="n">
        <v>51</v>
      </c>
      <c r="H27" t="n">
        <v>82</v>
      </c>
      <c r="I27" t="n">
        <v>120</v>
      </c>
      <c r="J27" t="n">
        <v>87</v>
      </c>
      <c r="K27" t="n">
        <v>69</v>
      </c>
      <c r="L27" t="n">
        <v>113</v>
      </c>
      <c r="M27" t="n">
        <v>36</v>
      </c>
      <c r="N27">
        <f>SUM(B27:D27)</f>
        <v/>
      </c>
      <c r="O27">
        <f>SUM(E27:G27)</f>
        <v/>
      </c>
      <c r="P27">
        <f>SUM(H27:J27)</f>
        <v/>
      </c>
      <c r="Q27">
        <f>SUM(K27:M27)</f>
        <v/>
      </c>
      <c r="R27">
        <f>SUM(N27:O27)</f>
        <v/>
      </c>
      <c r="S27">
        <f>SUM(P27:Q27)</f>
        <v/>
      </c>
      <c r="T27">
        <f>R27+S27</f>
        <v/>
      </c>
    </row>
    <row r="28">
      <c r="A28" t="inlineStr">
        <is>
          <t xml:space="preserve"> 부산물공제(A)</t>
        </is>
      </c>
      <c r="B28" t="n">
        <v>218</v>
      </c>
      <c r="C28" t="n">
        <v>145</v>
      </c>
      <c r="D28" t="n">
        <v>106</v>
      </c>
      <c r="E28" t="n">
        <v>223</v>
      </c>
      <c r="F28" t="n">
        <v>94</v>
      </c>
      <c r="G28" t="n">
        <v>93</v>
      </c>
      <c r="H28" t="n">
        <v>194</v>
      </c>
      <c r="I28" t="n">
        <v>280</v>
      </c>
      <c r="J28" t="n">
        <v>221</v>
      </c>
      <c r="K28" t="n">
        <v>180</v>
      </c>
      <c r="L28" t="n">
        <v>293</v>
      </c>
      <c r="M28" t="n">
        <v>73</v>
      </c>
      <c r="N28">
        <f>SUM(B28:D28)</f>
        <v/>
      </c>
      <c r="O28">
        <f>SUM(E28:G28)</f>
        <v/>
      </c>
      <c r="P28">
        <f>SUM(H28:J28)</f>
        <v/>
      </c>
      <c r="Q28">
        <f>SUM(K28:M28)</f>
        <v/>
      </c>
      <c r="R28">
        <f>SUM(N28:O28)</f>
        <v/>
      </c>
      <c r="S28">
        <f>SUM(P28:Q28)</f>
        <v/>
      </c>
      <c r="T28">
        <f>R28+S28</f>
        <v/>
      </c>
    </row>
    <row r="29">
      <c r="A29" t="inlineStr">
        <is>
          <t xml:space="preserve"> 변동직접노무비(A)</t>
        </is>
      </c>
      <c r="B29" t="n">
        <v>250</v>
      </c>
      <c r="C29" t="n">
        <v>181</v>
      </c>
      <c r="D29" t="n">
        <v>125</v>
      </c>
      <c r="E29" t="n">
        <v>308</v>
      </c>
      <c r="F29" t="n">
        <v>104</v>
      </c>
      <c r="G29" t="n">
        <v>124</v>
      </c>
      <c r="H29" t="n">
        <v>304</v>
      </c>
      <c r="I29" t="n">
        <v>328</v>
      </c>
      <c r="J29" t="n">
        <v>326</v>
      </c>
      <c r="K29" t="n">
        <v>256</v>
      </c>
      <c r="L29" t="n">
        <v>356</v>
      </c>
      <c r="M29" t="n">
        <v>98</v>
      </c>
      <c r="N29">
        <f>SUM(B29:D29)</f>
        <v/>
      </c>
      <c r="O29">
        <f>SUM(E29:G29)</f>
        <v/>
      </c>
      <c r="P29">
        <f>SUM(H29:J29)</f>
        <v/>
      </c>
      <c r="Q29">
        <f>SUM(K29:M29)</f>
        <v/>
      </c>
      <c r="R29">
        <f>SUM(N29:O29)</f>
        <v/>
      </c>
      <c r="S29">
        <f>SUM(P29:Q29)</f>
        <v/>
      </c>
      <c r="T29">
        <f>R29+S29</f>
        <v/>
      </c>
    </row>
    <row r="30">
      <c r="A30" t="inlineStr">
        <is>
          <t xml:space="preserve"> 변동경비(A)</t>
        </is>
      </c>
      <c r="B30" t="n">
        <v>144</v>
      </c>
      <c r="C30" t="n">
        <v>123</v>
      </c>
      <c r="D30" t="n">
        <v>88</v>
      </c>
      <c r="E30" t="n">
        <v>188</v>
      </c>
      <c r="F30" t="n">
        <v>76</v>
      </c>
      <c r="G30" t="n">
        <v>80</v>
      </c>
      <c r="H30" t="n">
        <v>153</v>
      </c>
      <c r="I30" t="n">
        <v>240</v>
      </c>
      <c r="J30" t="n">
        <v>166</v>
      </c>
      <c r="K30" t="n">
        <v>146</v>
      </c>
      <c r="L30" t="n">
        <v>237</v>
      </c>
      <c r="M30" t="n">
        <v>70</v>
      </c>
      <c r="N30">
        <f>SUM(B30:D30)</f>
        <v/>
      </c>
      <c r="O30">
        <f>SUM(E30:G30)</f>
        <v/>
      </c>
      <c r="P30">
        <f>SUM(H30:J30)</f>
        <v/>
      </c>
      <c r="Q30">
        <f>SUM(K30:M30)</f>
        <v/>
      </c>
      <c r="R30">
        <f>SUM(N30:O30)</f>
        <v/>
      </c>
      <c r="S30">
        <f>SUM(P30:Q30)</f>
        <v/>
      </c>
      <c r="T30">
        <f>R30+S30</f>
        <v/>
      </c>
    </row>
    <row r="31">
      <c r="A31" t="inlineStr">
        <is>
          <t xml:space="preserve"> 고정직접노무비(A)</t>
        </is>
      </c>
      <c r="B31" t="n">
        <v>32</v>
      </c>
      <c r="C31" t="n">
        <v>19</v>
      </c>
      <c r="D31" t="n">
        <v>13</v>
      </c>
      <c r="E31" t="n">
        <v>40</v>
      </c>
      <c r="F31" t="n">
        <v>12</v>
      </c>
      <c r="G31" t="n">
        <v>16</v>
      </c>
      <c r="H31" t="n">
        <v>30</v>
      </c>
      <c r="I31" t="n">
        <v>40</v>
      </c>
      <c r="J31" t="n">
        <v>40</v>
      </c>
      <c r="K31" t="n">
        <v>28</v>
      </c>
      <c r="L31" t="n">
        <v>42</v>
      </c>
      <c r="M31" t="n">
        <v>10</v>
      </c>
      <c r="N31">
        <f>SUM(B31:D31)</f>
        <v/>
      </c>
      <c r="O31">
        <f>SUM(E31:G31)</f>
        <v/>
      </c>
      <c r="P31">
        <f>SUM(H31:J31)</f>
        <v/>
      </c>
      <c r="Q31">
        <f>SUM(K31:M31)</f>
        <v/>
      </c>
      <c r="R31">
        <f>SUM(N31:O31)</f>
        <v/>
      </c>
      <c r="S31">
        <f>SUM(P31:Q31)</f>
        <v/>
      </c>
      <c r="T31">
        <f>R31+S31</f>
        <v/>
      </c>
    </row>
    <row r="32">
      <c r="A32" t="inlineStr">
        <is>
          <t xml:space="preserve"> 간접노무비(A)</t>
        </is>
      </c>
      <c r="B32" t="n">
        <v>223</v>
      </c>
      <c r="C32" t="n">
        <v>170</v>
      </c>
      <c r="D32" t="n">
        <v>107</v>
      </c>
      <c r="E32" t="n">
        <v>246</v>
      </c>
      <c r="F32" t="n">
        <v>110</v>
      </c>
      <c r="G32" t="n">
        <v>102</v>
      </c>
      <c r="H32" t="n">
        <v>189</v>
      </c>
      <c r="I32" t="n">
        <v>276</v>
      </c>
      <c r="J32" t="n">
        <v>218</v>
      </c>
      <c r="K32" t="n">
        <v>199</v>
      </c>
      <c r="L32" t="n">
        <v>231</v>
      </c>
      <c r="M32" t="n">
        <v>76</v>
      </c>
      <c r="N32">
        <f>SUM(B32:D32)</f>
        <v/>
      </c>
      <c r="O32">
        <f>SUM(E32:G32)</f>
        <v/>
      </c>
      <c r="P32">
        <f>SUM(H32:J32)</f>
        <v/>
      </c>
      <c r="Q32">
        <f>SUM(K32:M32)</f>
        <v/>
      </c>
      <c r="R32">
        <f>SUM(N32:O32)</f>
        <v/>
      </c>
      <c r="S32">
        <f>SUM(P32:Q32)</f>
        <v/>
      </c>
      <c r="T32">
        <f>R32+S32</f>
        <v/>
      </c>
    </row>
    <row r="33">
      <c r="A33" t="inlineStr">
        <is>
          <t xml:space="preserve"> 고정경비(A)</t>
        </is>
      </c>
      <c r="B33" t="n">
        <v>200</v>
      </c>
      <c r="C33" t="n">
        <v>153</v>
      </c>
      <c r="D33" t="n">
        <v>115</v>
      </c>
      <c r="E33" t="n">
        <v>237</v>
      </c>
      <c r="F33" t="n">
        <v>92</v>
      </c>
      <c r="G33" t="n">
        <v>110</v>
      </c>
      <c r="H33" t="n">
        <v>216</v>
      </c>
      <c r="I33" t="n">
        <v>251</v>
      </c>
      <c r="J33" t="n">
        <v>272</v>
      </c>
      <c r="K33" t="n">
        <v>190</v>
      </c>
      <c r="L33" t="n">
        <v>233</v>
      </c>
      <c r="M33" t="n">
        <v>83</v>
      </c>
      <c r="N33">
        <f>SUM(B33:D33)</f>
        <v/>
      </c>
      <c r="O33">
        <f>SUM(E33:G33)</f>
        <v/>
      </c>
      <c r="P33">
        <f>SUM(H33:J33)</f>
        <v/>
      </c>
      <c r="Q33">
        <f>SUM(K33:M33)</f>
        <v/>
      </c>
      <c r="R33">
        <f>SUM(N33:O33)</f>
        <v/>
      </c>
      <c r="S33">
        <f>SUM(P33:Q33)</f>
        <v/>
      </c>
      <c r="T33">
        <f>R33+S33</f>
        <v/>
      </c>
    </row>
    <row r="34">
      <c r="A34" t="inlineStr">
        <is>
          <t xml:space="preserve"> 외주가공비(A)</t>
        </is>
      </c>
      <c r="B34" t="n">
        <v>209</v>
      </c>
      <c r="C34" t="n">
        <v>119</v>
      </c>
      <c r="D34" t="n">
        <v>86</v>
      </c>
      <c r="E34" t="n">
        <v>238</v>
      </c>
      <c r="F34" t="n">
        <v>75</v>
      </c>
      <c r="G34" t="n">
        <v>93</v>
      </c>
      <c r="H34" t="n">
        <v>208</v>
      </c>
      <c r="I34" t="n">
        <v>249</v>
      </c>
      <c r="J34" t="n">
        <v>227</v>
      </c>
      <c r="K34" t="n">
        <v>176</v>
      </c>
      <c r="L34" t="n">
        <v>209</v>
      </c>
      <c r="M34" t="n">
        <v>69</v>
      </c>
      <c r="N34">
        <f>SUM(B34:D34)</f>
        <v/>
      </c>
      <c r="O34">
        <f>SUM(E34:G34)</f>
        <v/>
      </c>
      <c r="P34">
        <f>SUM(H34:J34)</f>
        <v/>
      </c>
      <c r="Q34">
        <f>SUM(K34:M34)</f>
        <v/>
      </c>
      <c r="R34">
        <f>SUM(N34:O34)</f>
        <v/>
      </c>
      <c r="S34">
        <f>SUM(P34:Q34)</f>
        <v/>
      </c>
      <c r="T34">
        <f>R34+S34</f>
        <v/>
      </c>
    </row>
    <row r="35">
      <c r="A35" t="inlineStr">
        <is>
          <t xml:space="preserve"> 원가절감(구매)</t>
        </is>
      </c>
      <c r="B35" t="n">
        <v>205</v>
      </c>
      <c r="C35" t="n">
        <v>169</v>
      </c>
      <c r="D35" t="n">
        <v>103</v>
      </c>
      <c r="E35" t="n">
        <v>246</v>
      </c>
      <c r="F35" t="n">
        <v>119</v>
      </c>
      <c r="G35" t="n">
        <v>111</v>
      </c>
      <c r="H35" t="n">
        <v>238</v>
      </c>
      <c r="I35" t="n">
        <v>310</v>
      </c>
      <c r="J35" t="n">
        <v>232</v>
      </c>
      <c r="K35" t="n">
        <v>193</v>
      </c>
      <c r="L35" t="n">
        <v>308</v>
      </c>
      <c r="M35" t="n">
        <v>84</v>
      </c>
      <c r="N35">
        <f>SUM(B35:D35)</f>
        <v/>
      </c>
      <c r="O35">
        <f>SUM(E35:G35)</f>
        <v/>
      </c>
      <c r="P35">
        <f>SUM(H35:J35)</f>
        <v/>
      </c>
      <c r="Q35">
        <f>SUM(K35:M35)</f>
        <v/>
      </c>
      <c r="R35">
        <f>SUM(N35:O35)</f>
        <v/>
      </c>
      <c r="S35">
        <f>SUM(P35:Q35)</f>
        <v/>
      </c>
      <c r="T35">
        <f>R35+S35</f>
        <v/>
      </c>
    </row>
    <row r="36">
      <c r="A36" t="inlineStr">
        <is>
          <t xml:space="preserve"> 원가절감(광주)</t>
        </is>
      </c>
      <c r="B36" t="n">
        <v>186</v>
      </c>
      <c r="C36" t="n">
        <v>147</v>
      </c>
      <c r="D36" t="n">
        <v>93</v>
      </c>
      <c r="E36" t="n">
        <v>207</v>
      </c>
      <c r="F36" t="n">
        <v>78</v>
      </c>
      <c r="G36" t="n">
        <v>96</v>
      </c>
      <c r="H36" t="n">
        <v>187</v>
      </c>
      <c r="I36" t="n">
        <v>252</v>
      </c>
      <c r="J36" t="n">
        <v>202</v>
      </c>
      <c r="K36" t="n">
        <v>144</v>
      </c>
      <c r="L36" t="n">
        <v>217</v>
      </c>
      <c r="M36" t="n">
        <v>76</v>
      </c>
      <c r="N36">
        <f>SUM(B36:D36)</f>
        <v/>
      </c>
      <c r="O36">
        <f>SUM(E36:G36)</f>
        <v/>
      </c>
      <c r="P36">
        <f>SUM(H36:J36)</f>
        <v/>
      </c>
      <c r="Q36">
        <f>SUM(K36:M36)</f>
        <v/>
      </c>
      <c r="R36">
        <f>SUM(N36:O36)</f>
        <v/>
      </c>
      <c r="S36">
        <f>SUM(P36:Q36)</f>
        <v/>
      </c>
      <c r="T36">
        <f>R36+S36</f>
        <v/>
      </c>
    </row>
    <row r="37">
      <c r="A37" t="inlineStr">
        <is>
          <t xml:space="preserve"> 원가절감(창원)</t>
        </is>
      </c>
      <c r="B37" t="n">
        <v>149</v>
      </c>
      <c r="C37" t="n">
        <v>95</v>
      </c>
      <c r="D37" t="n">
        <v>65</v>
      </c>
      <c r="E37" t="n">
        <v>135</v>
      </c>
      <c r="F37" t="n">
        <v>65</v>
      </c>
      <c r="G37" t="n">
        <v>65</v>
      </c>
      <c r="H37" t="n">
        <v>129</v>
      </c>
      <c r="I37" t="n">
        <v>182</v>
      </c>
      <c r="J37" t="n">
        <v>154</v>
      </c>
      <c r="K37" t="n">
        <v>119</v>
      </c>
      <c r="L37" t="n">
        <v>139</v>
      </c>
      <c r="M37" t="n">
        <v>43</v>
      </c>
      <c r="N37">
        <f>SUM(B37:D37)</f>
        <v/>
      </c>
      <c r="O37">
        <f>SUM(E37:G37)</f>
        <v/>
      </c>
      <c r="P37">
        <f>SUM(H37:J37)</f>
        <v/>
      </c>
      <c r="Q37">
        <f>SUM(K37:M37)</f>
        <v/>
      </c>
      <c r="R37">
        <f>SUM(N37:O37)</f>
        <v/>
      </c>
      <c r="S37">
        <f>SUM(P37:Q37)</f>
        <v/>
      </c>
      <c r="T37">
        <f>R37+S37</f>
        <v/>
      </c>
    </row>
    <row r="38">
      <c r="A38" t="inlineStr">
        <is>
          <t xml:space="preserve"> 원가절감(품질)</t>
        </is>
      </c>
      <c r="B38" t="n">
        <v>208</v>
      </c>
      <c r="C38" t="n">
        <v>138</v>
      </c>
      <c r="D38" t="n">
        <v>73</v>
      </c>
      <c r="E38" t="n">
        <v>192</v>
      </c>
      <c r="F38" t="n">
        <v>79</v>
      </c>
      <c r="G38" t="n">
        <v>86</v>
      </c>
      <c r="H38" t="n">
        <v>166</v>
      </c>
      <c r="I38" t="n">
        <v>272</v>
      </c>
      <c r="J38" t="n">
        <v>211</v>
      </c>
      <c r="K38" t="n">
        <v>150</v>
      </c>
      <c r="L38" t="n">
        <v>242</v>
      </c>
      <c r="M38" t="n">
        <v>63</v>
      </c>
      <c r="N38">
        <f>SUM(B38:D38)</f>
        <v/>
      </c>
      <c r="O38">
        <f>SUM(E38:G38)</f>
        <v/>
      </c>
      <c r="P38">
        <f>SUM(H38:J38)</f>
        <v/>
      </c>
      <c r="Q38">
        <f>SUM(K38:M38)</f>
        <v/>
      </c>
      <c r="R38">
        <f>SUM(N38:O38)</f>
        <v/>
      </c>
      <c r="S38">
        <f>SUM(P38:Q38)</f>
        <v/>
      </c>
      <c r="T38">
        <f>R38+S38</f>
        <v/>
      </c>
    </row>
    <row r="39">
      <c r="A39" t="inlineStr">
        <is>
          <t xml:space="preserve"> 원가절감(국내)</t>
        </is>
      </c>
      <c r="B39" t="n">
        <v>96</v>
      </c>
      <c r="C39" t="n">
        <v>65</v>
      </c>
      <c r="D39" t="n">
        <v>54</v>
      </c>
      <c r="E39" t="n">
        <v>107</v>
      </c>
      <c r="F39" t="n">
        <v>41</v>
      </c>
      <c r="G39" t="n">
        <v>61</v>
      </c>
      <c r="H39" t="n">
        <v>114</v>
      </c>
      <c r="I39" t="n">
        <v>137</v>
      </c>
      <c r="J39" t="n">
        <v>100</v>
      </c>
      <c r="K39" t="n">
        <v>95</v>
      </c>
      <c r="L39" t="n">
        <v>140</v>
      </c>
      <c r="M39" t="n">
        <v>36</v>
      </c>
      <c r="N39">
        <f>SUM(B39:D39)</f>
        <v/>
      </c>
      <c r="O39">
        <f>SUM(E39:G39)</f>
        <v/>
      </c>
      <c r="P39">
        <f>SUM(H39:J39)</f>
        <v/>
      </c>
      <c r="Q39">
        <f>SUM(K39:M39)</f>
        <v/>
      </c>
      <c r="R39">
        <f>SUM(N39:O39)</f>
        <v/>
      </c>
      <c r="S39">
        <f>SUM(P39:Q39)</f>
        <v/>
      </c>
      <c r="T39">
        <f>R39+S39</f>
        <v/>
      </c>
    </row>
    <row r="40">
      <c r="A40" t="inlineStr">
        <is>
          <t xml:space="preserve"> 원가절감(해외)</t>
        </is>
      </c>
      <c r="B40" t="n">
        <v>90</v>
      </c>
      <c r="C40" t="n">
        <v>72</v>
      </c>
      <c r="D40" t="n">
        <v>49</v>
      </c>
      <c r="E40" t="n">
        <v>123</v>
      </c>
      <c r="F40" t="n">
        <v>44</v>
      </c>
      <c r="G40" t="n">
        <v>46</v>
      </c>
      <c r="H40" t="n">
        <v>106</v>
      </c>
      <c r="I40" t="n">
        <v>137</v>
      </c>
      <c r="J40" t="n">
        <v>111</v>
      </c>
      <c r="K40" t="n">
        <v>82</v>
      </c>
      <c r="L40" t="n">
        <v>111</v>
      </c>
      <c r="M40" t="n">
        <v>33</v>
      </c>
      <c r="N40">
        <f>SUM(B40:D40)</f>
        <v/>
      </c>
      <c r="O40">
        <f>SUM(E40:G40)</f>
        <v/>
      </c>
      <c r="P40">
        <f>SUM(H40:J40)</f>
        <v/>
      </c>
      <c r="Q40">
        <f>SUM(K40:M40)</f>
        <v/>
      </c>
      <c r="R40">
        <f>SUM(N40:O40)</f>
        <v/>
      </c>
      <c r="S40">
        <f>SUM(P40:Q40)</f>
        <v/>
      </c>
      <c r="T40">
        <f>R40+S40</f>
        <v/>
      </c>
    </row>
    <row r="41">
      <c r="A41" t="inlineStr">
        <is>
          <t xml:space="preserve"> 매출총이익(A)</t>
        </is>
      </c>
      <c r="B41">
        <f>B5-B6</f>
        <v/>
      </c>
      <c r="C41">
        <f>C5-C6</f>
        <v/>
      </c>
      <c r="D41">
        <f>D5-D6</f>
        <v/>
      </c>
      <c r="E41">
        <f>E5-E6</f>
        <v/>
      </c>
      <c r="F41">
        <f>F5-F6</f>
        <v/>
      </c>
      <c r="G41">
        <f>G5-G6</f>
        <v/>
      </c>
      <c r="H41">
        <f>H5-H6</f>
        <v/>
      </c>
      <c r="I41">
        <f>I5-I6</f>
        <v/>
      </c>
      <c r="J41">
        <f>J5-J6</f>
        <v/>
      </c>
      <c r="K41">
        <f>K5-K6</f>
        <v/>
      </c>
      <c r="L41">
        <f>L5-L6</f>
        <v/>
      </c>
      <c r="M41">
        <f>M5-M6</f>
        <v/>
      </c>
      <c r="N41">
        <f>N5-N6</f>
        <v/>
      </c>
      <c r="O41">
        <f>O5-O6</f>
        <v/>
      </c>
      <c r="P41">
        <f>P5-P6</f>
        <v/>
      </c>
      <c r="Q41">
        <f>Q5-Q6</f>
        <v/>
      </c>
      <c r="R41">
        <f>R5-R6</f>
        <v/>
      </c>
      <c r="S41">
        <f>S5-S6</f>
        <v/>
      </c>
      <c r="T41">
        <f>T5-T6</f>
        <v/>
      </c>
    </row>
    <row r="42">
      <c r="A42" t="inlineStr">
        <is>
          <t xml:space="preserve"> 판관비(Total)</t>
        </is>
      </c>
      <c r="B42">
        <f>SUM(B44:B80)</f>
        <v/>
      </c>
      <c r="C42">
        <f>SUM(C44:C80)</f>
        <v/>
      </c>
      <c r="D42">
        <f>SUM(D44:D80)</f>
        <v/>
      </c>
      <c r="E42">
        <f>SUM(E44:E80)</f>
        <v/>
      </c>
      <c r="F42">
        <f>SUM(F44:F80)</f>
        <v/>
      </c>
      <c r="G42">
        <f>SUM(G44:G80)</f>
        <v/>
      </c>
      <c r="H42">
        <f>SUM(H44:H80)</f>
        <v/>
      </c>
      <c r="I42">
        <f>SUM(I44:I80)</f>
        <v/>
      </c>
      <c r="J42">
        <f>SUM(J44:J80)</f>
        <v/>
      </c>
      <c r="K42">
        <f>SUM(K44:K80)</f>
        <v/>
      </c>
      <c r="L42">
        <f>SUM(L44:L80)</f>
        <v/>
      </c>
      <c r="M42">
        <f>SUM(M44:M80)</f>
        <v/>
      </c>
      <c r="N42">
        <f>SUM(B42:D42)</f>
        <v/>
      </c>
      <c r="O42">
        <f>SUM(E42:G42)</f>
        <v/>
      </c>
      <c r="P42">
        <f>SUM(H42:J42)</f>
        <v/>
      </c>
      <c r="Q42">
        <f>SUM(K42:M42)</f>
        <v/>
      </c>
      <c r="R42">
        <f>SUM(N42:O42)</f>
        <v/>
      </c>
      <c r="S42">
        <f>SUM(P42:Q42)</f>
        <v/>
      </c>
      <c r="T42">
        <f>R42+S42</f>
        <v/>
      </c>
    </row>
    <row r="43">
      <c r="B43">
        <f>IFERROR(B42/B5,0)</f>
        <v/>
      </c>
      <c r="C43">
        <f>IFERROR(C42/C5,0)</f>
        <v/>
      </c>
      <c r="D43">
        <f>IFERROR(D42/D5,0)</f>
        <v/>
      </c>
      <c r="E43">
        <f>IFERROR(E42/E5,0)</f>
        <v/>
      </c>
      <c r="F43">
        <f>IFERROR(F42/F5,0)</f>
        <v/>
      </c>
      <c r="G43">
        <f>IFERROR(G42/G5,0)</f>
        <v/>
      </c>
      <c r="H43">
        <f>IFERROR(H42/H5,0)</f>
        <v/>
      </c>
      <c r="I43">
        <f>IFERROR(I42/I5,0)</f>
        <v/>
      </c>
      <c r="J43">
        <f>IFERROR(J42/J5,0)</f>
        <v/>
      </c>
      <c r="K43">
        <f>IFERROR(K42/K5,0)</f>
        <v/>
      </c>
      <c r="L43">
        <f>IFERROR(L42/L5,0)</f>
        <v/>
      </c>
      <c r="M43">
        <f>IFERROR(M42/M5,0)</f>
        <v/>
      </c>
      <c r="N43">
        <f>IFERROR(N42/N5,0)</f>
        <v/>
      </c>
      <c r="O43">
        <f>IFERROR(O42/O5,0)</f>
        <v/>
      </c>
      <c r="P43">
        <f>IFERROR(P42/P5,0)</f>
        <v/>
      </c>
      <c r="Q43">
        <f>IFERROR(Q42/Q5,0)</f>
        <v/>
      </c>
      <c r="R43">
        <f>IFERROR(R42/R5,0)</f>
        <v/>
      </c>
      <c r="S43">
        <f>IFERROR(S42/S5,0)</f>
        <v/>
      </c>
      <c r="T43">
        <f>IFERROR(T42/T5,0)</f>
        <v/>
      </c>
    </row>
    <row r="44">
      <c r="A44" t="inlineStr">
        <is>
          <t xml:space="preserve"> 임원급여</t>
        </is>
      </c>
      <c r="B44" t="n">
        <v>4</v>
      </c>
      <c r="C44" t="n">
        <v>3</v>
      </c>
      <c r="D44" t="n">
        <v>2</v>
      </c>
      <c r="E44" t="n">
        <v>5</v>
      </c>
      <c r="F44" t="n">
        <v>2</v>
      </c>
      <c r="G44" t="n">
        <v>2</v>
      </c>
      <c r="H44" t="n">
        <v>5</v>
      </c>
      <c r="I44" t="n">
        <v>6</v>
      </c>
      <c r="J44" t="n">
        <v>4</v>
      </c>
      <c r="K44" t="n">
        <v>3</v>
      </c>
      <c r="L44" t="n">
        <v>5</v>
      </c>
      <c r="M44" t="n">
        <v>2</v>
      </c>
      <c r="N44">
        <f>SUM(B44:D44)</f>
        <v/>
      </c>
      <c r="O44">
        <f>SUM(E44:G44)</f>
        <v/>
      </c>
      <c r="P44">
        <f>SUM(H44:J44)</f>
        <v/>
      </c>
      <c r="Q44">
        <f>SUM(K44:M44)</f>
        <v/>
      </c>
      <c r="R44">
        <f>SUM(N44:O44)</f>
        <v/>
      </c>
      <c r="S44">
        <f>SUM(P44:Q44)</f>
        <v/>
      </c>
      <c r="T44">
        <f>R44+S44</f>
        <v/>
      </c>
    </row>
    <row r="45">
      <c r="A45" t="inlineStr">
        <is>
          <t xml:space="preserve"> 직원급여</t>
        </is>
      </c>
      <c r="B45" t="n">
        <v>14</v>
      </c>
      <c r="C45" t="n">
        <v>8</v>
      </c>
      <c r="D45" t="n">
        <v>6</v>
      </c>
      <c r="E45" t="n">
        <v>16</v>
      </c>
      <c r="F45" t="n">
        <v>6</v>
      </c>
      <c r="G45" t="n">
        <v>7</v>
      </c>
      <c r="H45" t="n">
        <v>13</v>
      </c>
      <c r="I45" t="n">
        <v>15</v>
      </c>
      <c r="J45" t="n">
        <v>14</v>
      </c>
      <c r="K45" t="n">
        <v>9</v>
      </c>
      <c r="L45" t="n">
        <v>13</v>
      </c>
      <c r="M45" t="n">
        <v>4</v>
      </c>
      <c r="N45">
        <f>SUM(B45:D45)</f>
        <v/>
      </c>
      <c r="O45">
        <f>SUM(E45:G45)</f>
        <v/>
      </c>
      <c r="P45">
        <f>SUM(H45:J45)</f>
        <v/>
      </c>
      <c r="Q45">
        <f>SUM(K45:M45)</f>
        <v/>
      </c>
      <c r="R45">
        <f>SUM(N45:O45)</f>
        <v/>
      </c>
      <c r="S45">
        <f>SUM(P45:Q45)</f>
        <v/>
      </c>
      <c r="T45">
        <f>R45+S45</f>
        <v/>
      </c>
    </row>
    <row r="46">
      <c r="A46" t="inlineStr">
        <is>
          <t xml:space="preserve"> 임원상여</t>
        </is>
      </c>
      <c r="B46" t="n">
        <v>10</v>
      </c>
      <c r="C46" t="n">
        <v>7</v>
      </c>
      <c r="D46" t="n">
        <v>5</v>
      </c>
      <c r="E46" t="n">
        <v>12</v>
      </c>
      <c r="F46" t="n">
        <v>5</v>
      </c>
      <c r="G46" t="n">
        <v>5</v>
      </c>
      <c r="H46" t="n">
        <v>10</v>
      </c>
      <c r="I46" t="n">
        <v>12</v>
      </c>
      <c r="J46" t="n">
        <v>13</v>
      </c>
      <c r="K46" t="n">
        <v>10</v>
      </c>
      <c r="L46" t="n">
        <v>14</v>
      </c>
      <c r="M46" t="n">
        <v>4</v>
      </c>
      <c r="N46">
        <f>SUM(B46:D46)</f>
        <v/>
      </c>
      <c r="O46">
        <f>SUM(E46:G46)</f>
        <v/>
      </c>
      <c r="P46">
        <f>SUM(H46:J46)</f>
        <v/>
      </c>
      <c r="Q46">
        <f>SUM(K46:M46)</f>
        <v/>
      </c>
      <c r="R46">
        <f>SUM(N46:O46)</f>
        <v/>
      </c>
      <c r="S46">
        <f>SUM(P46:Q46)</f>
        <v/>
      </c>
      <c r="T46">
        <f>R46+S46</f>
        <v/>
      </c>
    </row>
    <row r="47">
      <c r="A47" t="inlineStr">
        <is>
          <t xml:space="preserve"> 직원상여</t>
        </is>
      </c>
      <c r="B47" t="n">
        <v>8</v>
      </c>
      <c r="C47" t="n">
        <v>4</v>
      </c>
      <c r="D47" t="n">
        <v>3</v>
      </c>
      <c r="E47" t="n">
        <v>8</v>
      </c>
      <c r="F47" t="n">
        <v>3</v>
      </c>
      <c r="G47" t="n">
        <v>3</v>
      </c>
      <c r="H47" t="n">
        <v>7</v>
      </c>
      <c r="I47" t="n">
        <v>9</v>
      </c>
      <c r="J47" t="n">
        <v>9</v>
      </c>
      <c r="K47" t="n">
        <v>6</v>
      </c>
      <c r="L47" t="n">
        <v>10</v>
      </c>
      <c r="M47" t="n">
        <v>2</v>
      </c>
      <c r="N47">
        <f>SUM(B47:D47)</f>
        <v/>
      </c>
      <c r="O47">
        <f>SUM(E47:G47)</f>
        <v/>
      </c>
      <c r="P47">
        <f>SUM(H47:J47)</f>
        <v/>
      </c>
      <c r="Q47">
        <f>SUM(K47:M47)</f>
        <v/>
      </c>
      <c r="R47">
        <f>SUM(N47:O47)</f>
        <v/>
      </c>
      <c r="S47">
        <f>SUM(P47:Q47)</f>
        <v/>
      </c>
      <c r="T47">
        <f>R47+S47</f>
        <v/>
      </c>
    </row>
    <row r="48">
      <c r="A48" t="inlineStr">
        <is>
          <t xml:space="preserve"> 임금</t>
        </is>
      </c>
      <c r="B48" t="n">
        <v>7</v>
      </c>
      <c r="C48" t="n">
        <v>5</v>
      </c>
      <c r="D48" t="n">
        <v>3</v>
      </c>
      <c r="E48" t="n">
        <v>8</v>
      </c>
      <c r="F48" t="n">
        <v>3</v>
      </c>
      <c r="G48" t="n">
        <v>3</v>
      </c>
      <c r="H48" t="n">
        <v>7</v>
      </c>
      <c r="I48" t="n">
        <v>10</v>
      </c>
      <c r="J48" t="n">
        <v>7</v>
      </c>
      <c r="K48" t="n">
        <v>5</v>
      </c>
      <c r="L48" t="n">
        <v>8</v>
      </c>
      <c r="M48" t="n">
        <v>2</v>
      </c>
      <c r="N48">
        <f>SUM(B48:D48)</f>
        <v/>
      </c>
      <c r="O48">
        <f>SUM(E48:G48)</f>
        <v/>
      </c>
      <c r="P48">
        <f>SUM(H48:J48)</f>
        <v/>
      </c>
      <c r="Q48">
        <f>SUM(K48:M48)</f>
        <v/>
      </c>
      <c r="R48">
        <f>SUM(N48:O48)</f>
        <v/>
      </c>
      <c r="S48">
        <f>SUM(P48:Q48)</f>
        <v/>
      </c>
      <c r="T48">
        <f>R48+S48</f>
        <v/>
      </c>
    </row>
    <row r="49">
      <c r="A49" t="inlineStr">
        <is>
          <t xml:space="preserve"> 제수당</t>
        </is>
      </c>
      <c r="B49" t="n">
        <v>12</v>
      </c>
      <c r="C49" t="n">
        <v>8</v>
      </c>
      <c r="D49" t="n">
        <v>6</v>
      </c>
      <c r="E49" t="n">
        <v>14</v>
      </c>
      <c r="F49" t="n">
        <v>5</v>
      </c>
      <c r="G49" t="n">
        <v>7</v>
      </c>
      <c r="H49" t="n">
        <v>11</v>
      </c>
      <c r="I49" t="n">
        <v>16</v>
      </c>
      <c r="J49" t="n">
        <v>17</v>
      </c>
      <c r="K49" t="n">
        <v>10</v>
      </c>
      <c r="L49" t="n">
        <v>17</v>
      </c>
      <c r="M49" t="n">
        <v>6</v>
      </c>
      <c r="N49">
        <f>SUM(B49:D49)</f>
        <v/>
      </c>
      <c r="O49">
        <f>SUM(E49:G49)</f>
        <v/>
      </c>
      <c r="P49">
        <f>SUM(H49:J49)</f>
        <v/>
      </c>
      <c r="Q49">
        <f>SUM(K49:M49)</f>
        <v/>
      </c>
      <c r="R49">
        <f>SUM(N49:O49)</f>
        <v/>
      </c>
      <c r="S49">
        <f>SUM(P49:Q49)</f>
        <v/>
      </c>
      <c r="T49">
        <f>R49+S49</f>
        <v/>
      </c>
    </row>
    <row r="50">
      <c r="A50" t="inlineStr">
        <is>
          <t xml:space="preserve"> 잡급</t>
        </is>
      </c>
      <c r="B50" t="n">
        <v>16</v>
      </c>
      <c r="C50" t="n">
        <v>10</v>
      </c>
      <c r="D50" t="n">
        <v>6</v>
      </c>
      <c r="E50" t="n">
        <v>15</v>
      </c>
      <c r="F50" t="n">
        <v>5</v>
      </c>
      <c r="G50" t="n">
        <v>6</v>
      </c>
      <c r="H50" t="n">
        <v>12</v>
      </c>
      <c r="I50" t="n">
        <v>20</v>
      </c>
      <c r="J50" t="n">
        <v>17</v>
      </c>
      <c r="K50" t="n">
        <v>11</v>
      </c>
      <c r="L50" t="n">
        <v>19</v>
      </c>
      <c r="M50" t="n">
        <v>5</v>
      </c>
      <c r="N50">
        <f>SUM(B50:D50)</f>
        <v/>
      </c>
      <c r="O50">
        <f>SUM(E50:G50)</f>
        <v/>
      </c>
      <c r="P50">
        <f>SUM(H50:J50)</f>
        <v/>
      </c>
      <c r="Q50">
        <f>SUM(K50:M50)</f>
        <v/>
      </c>
      <c r="R50">
        <f>SUM(N50:O50)</f>
        <v/>
      </c>
      <c r="S50">
        <f>SUM(P50:Q50)</f>
        <v/>
      </c>
      <c r="T50">
        <f>R50+S50</f>
        <v/>
      </c>
    </row>
    <row r="51">
      <c r="A51" t="inlineStr">
        <is>
          <t xml:space="preserve"> 퇴직급여</t>
        </is>
      </c>
      <c r="B51" t="n">
        <v>3</v>
      </c>
      <c r="C51" t="n">
        <v>2</v>
      </c>
      <c r="D51" t="n">
        <v>2</v>
      </c>
      <c r="E51" t="n">
        <v>3</v>
      </c>
      <c r="F51" t="n">
        <v>1</v>
      </c>
      <c r="G51" t="n">
        <v>1</v>
      </c>
      <c r="H51" t="n">
        <v>3</v>
      </c>
      <c r="I51" t="n">
        <v>3</v>
      </c>
      <c r="J51" t="n">
        <v>3</v>
      </c>
      <c r="K51" t="n">
        <v>2</v>
      </c>
      <c r="L51" t="n">
        <v>3</v>
      </c>
      <c r="M51" t="n">
        <v>1</v>
      </c>
      <c r="N51">
        <f>SUM(B51:D51)</f>
        <v/>
      </c>
      <c r="O51">
        <f>SUM(E51:G51)</f>
        <v/>
      </c>
      <c r="P51">
        <f>SUM(H51:J51)</f>
        <v/>
      </c>
      <c r="Q51">
        <f>SUM(K51:M51)</f>
        <v/>
      </c>
      <c r="R51">
        <f>SUM(N51:O51)</f>
        <v/>
      </c>
      <c r="S51">
        <f>SUM(P51:Q51)</f>
        <v/>
      </c>
      <c r="T51">
        <f>R51+S51</f>
        <v/>
      </c>
    </row>
    <row r="52">
      <c r="A52" t="inlineStr">
        <is>
          <t xml:space="preserve"> 대손상각비</t>
        </is>
      </c>
      <c r="B52" t="n">
        <v>3</v>
      </c>
      <c r="C52" t="n">
        <v>2</v>
      </c>
      <c r="D52" t="n">
        <v>2</v>
      </c>
      <c r="E52" t="n">
        <v>3</v>
      </c>
      <c r="F52" t="n">
        <v>1</v>
      </c>
      <c r="G52" t="n">
        <v>1</v>
      </c>
      <c r="H52" t="n">
        <v>3</v>
      </c>
      <c r="I52" t="n">
        <v>5</v>
      </c>
      <c r="J52" t="n">
        <v>3</v>
      </c>
      <c r="K52" t="n">
        <v>3</v>
      </c>
      <c r="L52" t="n">
        <v>4</v>
      </c>
      <c r="M52" t="n">
        <v>1</v>
      </c>
      <c r="N52">
        <f>SUM(B52:D52)</f>
        <v/>
      </c>
      <c r="O52">
        <f>SUM(E52:G52)</f>
        <v/>
      </c>
      <c r="P52">
        <f>SUM(H52:J52)</f>
        <v/>
      </c>
      <c r="Q52">
        <f>SUM(K52:M52)</f>
        <v/>
      </c>
      <c r="R52">
        <f>SUM(N52:O52)</f>
        <v/>
      </c>
      <c r="S52">
        <f>SUM(P52:Q52)</f>
        <v/>
      </c>
      <c r="T52">
        <f>R52+S52</f>
        <v/>
      </c>
    </row>
    <row r="53">
      <c r="A53" t="inlineStr">
        <is>
          <t xml:space="preserve"> 복리후생비</t>
        </is>
      </c>
      <c r="B53" t="n">
        <v>7</v>
      </c>
      <c r="C53" t="n">
        <v>4</v>
      </c>
      <c r="D53" t="n">
        <v>3</v>
      </c>
      <c r="E53" t="n">
        <v>9</v>
      </c>
      <c r="F53" t="n">
        <v>3</v>
      </c>
      <c r="G53" t="n">
        <v>3</v>
      </c>
      <c r="H53" t="n">
        <v>8</v>
      </c>
      <c r="I53" t="n">
        <v>8</v>
      </c>
      <c r="J53" t="n">
        <v>8</v>
      </c>
      <c r="K53" t="n">
        <v>6</v>
      </c>
      <c r="L53" t="n">
        <v>10</v>
      </c>
      <c r="M53" t="n">
        <v>3</v>
      </c>
      <c r="N53">
        <f>SUM(B53:D53)</f>
        <v/>
      </c>
      <c r="O53">
        <f>SUM(E53:G53)</f>
        <v/>
      </c>
      <c r="P53">
        <f>SUM(H53:J53)</f>
        <v/>
      </c>
      <c r="Q53">
        <f>SUM(K53:M53)</f>
        <v/>
      </c>
      <c r="R53">
        <f>SUM(N53:O53)</f>
        <v/>
      </c>
      <c r="S53">
        <f>SUM(P53:Q53)</f>
        <v/>
      </c>
      <c r="T53">
        <f>R53+S53</f>
        <v/>
      </c>
    </row>
    <row r="54">
      <c r="A54" t="inlineStr">
        <is>
          <t xml:space="preserve"> 여비교통비</t>
        </is>
      </c>
      <c r="B54" t="n">
        <v>11</v>
      </c>
      <c r="C54" t="n">
        <v>9</v>
      </c>
      <c r="D54" t="n">
        <v>6</v>
      </c>
      <c r="E54" t="n">
        <v>14</v>
      </c>
      <c r="F54" t="n">
        <v>4</v>
      </c>
      <c r="G54" t="n">
        <v>5</v>
      </c>
      <c r="H54" t="n">
        <v>13</v>
      </c>
      <c r="I54" t="n">
        <v>13</v>
      </c>
      <c r="J54" t="n">
        <v>13</v>
      </c>
      <c r="K54" t="n">
        <v>9</v>
      </c>
      <c r="L54" t="n">
        <v>13</v>
      </c>
      <c r="M54" t="n">
        <v>5</v>
      </c>
      <c r="N54">
        <f>SUM(B54:D54)</f>
        <v/>
      </c>
      <c r="O54">
        <f>SUM(E54:G54)</f>
        <v/>
      </c>
      <c r="P54">
        <f>SUM(H54:J54)</f>
        <v/>
      </c>
      <c r="Q54">
        <f>SUM(K54:M54)</f>
        <v/>
      </c>
      <c r="R54">
        <f>SUM(N54:O54)</f>
        <v/>
      </c>
      <c r="S54">
        <f>SUM(P54:Q54)</f>
        <v/>
      </c>
      <c r="T54">
        <f>R54+S54</f>
        <v/>
      </c>
    </row>
    <row r="55">
      <c r="A55" t="inlineStr">
        <is>
          <t xml:space="preserve"> 통신비</t>
        </is>
      </c>
      <c r="B55" t="n">
        <v>11</v>
      </c>
      <c r="C55" t="n">
        <v>10</v>
      </c>
      <c r="D55" t="n">
        <v>5</v>
      </c>
      <c r="E55" t="n">
        <v>15</v>
      </c>
      <c r="F55" t="n">
        <v>6</v>
      </c>
      <c r="G55" t="n">
        <v>7</v>
      </c>
      <c r="H55" t="n">
        <v>15</v>
      </c>
      <c r="I55" t="n">
        <v>18</v>
      </c>
      <c r="J55" t="n">
        <v>16</v>
      </c>
      <c r="K55" t="n">
        <v>11</v>
      </c>
      <c r="L55" t="n">
        <v>18</v>
      </c>
      <c r="M55" t="n">
        <v>5</v>
      </c>
      <c r="N55">
        <f>SUM(B55:D55)</f>
        <v/>
      </c>
      <c r="O55">
        <f>SUM(E55:G55)</f>
        <v/>
      </c>
      <c r="P55">
        <f>SUM(H55:J55)</f>
        <v/>
      </c>
      <c r="Q55">
        <f>SUM(K55:M55)</f>
        <v/>
      </c>
      <c r="R55">
        <f>SUM(N55:O55)</f>
        <v/>
      </c>
      <c r="S55">
        <f>SUM(P55:Q55)</f>
        <v/>
      </c>
      <c r="T55">
        <f>R55+S55</f>
        <v/>
      </c>
    </row>
    <row r="56">
      <c r="A56" t="inlineStr">
        <is>
          <t xml:space="preserve"> 소모품비</t>
        </is>
      </c>
      <c r="B56" t="n">
        <v>11</v>
      </c>
      <c r="C56" t="n">
        <v>9</v>
      </c>
      <c r="D56" t="n">
        <v>5</v>
      </c>
      <c r="E56" t="n">
        <v>12</v>
      </c>
      <c r="F56" t="n">
        <v>5</v>
      </c>
      <c r="G56" t="n">
        <v>7</v>
      </c>
      <c r="H56" t="n">
        <v>13</v>
      </c>
      <c r="I56" t="n">
        <v>14</v>
      </c>
      <c r="J56" t="n">
        <v>13</v>
      </c>
      <c r="K56" t="n">
        <v>11</v>
      </c>
      <c r="L56" t="n">
        <v>17</v>
      </c>
      <c r="M56" t="n">
        <v>5</v>
      </c>
      <c r="N56">
        <f>SUM(B56:D56)</f>
        <v/>
      </c>
      <c r="O56">
        <f>SUM(E56:G56)</f>
        <v/>
      </c>
      <c r="P56">
        <f>SUM(H56:J56)</f>
        <v/>
      </c>
      <c r="Q56">
        <f>SUM(K56:M56)</f>
        <v/>
      </c>
      <c r="R56">
        <f>SUM(N56:O56)</f>
        <v/>
      </c>
      <c r="S56">
        <f>SUM(P56:Q56)</f>
        <v/>
      </c>
      <c r="T56">
        <f>R56+S56</f>
        <v/>
      </c>
    </row>
    <row r="57">
      <c r="A57" t="inlineStr">
        <is>
          <t xml:space="preserve"> 도서인쇄비</t>
        </is>
      </c>
      <c r="B57" t="n">
        <v>12</v>
      </c>
      <c r="C57" t="n">
        <v>8</v>
      </c>
      <c r="D57" t="n">
        <v>5</v>
      </c>
      <c r="E57" t="n">
        <v>13</v>
      </c>
      <c r="F57" t="n">
        <v>4</v>
      </c>
      <c r="G57" t="n">
        <v>6</v>
      </c>
      <c r="H57" t="n">
        <v>12</v>
      </c>
      <c r="I57" t="n">
        <v>15</v>
      </c>
      <c r="J57" t="n">
        <v>13</v>
      </c>
      <c r="K57" t="n">
        <v>8</v>
      </c>
      <c r="L57" t="n">
        <v>14</v>
      </c>
      <c r="M57" t="n">
        <v>4</v>
      </c>
      <c r="N57">
        <f>SUM(B57:D57)</f>
        <v/>
      </c>
      <c r="O57">
        <f>SUM(E57:G57)</f>
        <v/>
      </c>
      <c r="P57">
        <f>SUM(H57:J57)</f>
        <v/>
      </c>
      <c r="Q57">
        <f>SUM(K57:M57)</f>
        <v/>
      </c>
      <c r="R57">
        <f>SUM(N57:O57)</f>
        <v/>
      </c>
      <c r="S57">
        <f>SUM(P57:Q57)</f>
        <v/>
      </c>
      <c r="T57">
        <f>R57+S57</f>
        <v/>
      </c>
    </row>
    <row r="58">
      <c r="A58" t="inlineStr">
        <is>
          <t xml:space="preserve"> 세금과공과</t>
        </is>
      </c>
      <c r="B58" t="n">
        <v>12</v>
      </c>
      <c r="C58" t="n">
        <v>8</v>
      </c>
      <c r="D58" t="n">
        <v>6</v>
      </c>
      <c r="E58" t="n">
        <v>14</v>
      </c>
      <c r="F58" t="n">
        <v>4</v>
      </c>
      <c r="G58" t="n">
        <v>6</v>
      </c>
      <c r="H58" t="n">
        <v>11</v>
      </c>
      <c r="I58" t="n">
        <v>15</v>
      </c>
      <c r="J58" t="n">
        <v>13</v>
      </c>
      <c r="K58" t="n">
        <v>9</v>
      </c>
      <c r="L58" t="n">
        <v>13</v>
      </c>
      <c r="M58" t="n">
        <v>5</v>
      </c>
      <c r="N58">
        <f>SUM(B58:D58)</f>
        <v/>
      </c>
      <c r="O58">
        <f>SUM(E58:G58)</f>
        <v/>
      </c>
      <c r="P58">
        <f>SUM(H58:J58)</f>
        <v/>
      </c>
      <c r="Q58">
        <f>SUM(K58:M58)</f>
        <v/>
      </c>
      <c r="R58">
        <f>SUM(N58:O58)</f>
        <v/>
      </c>
      <c r="S58">
        <f>SUM(P58:Q58)</f>
        <v/>
      </c>
      <c r="T58">
        <f>R58+S58</f>
        <v/>
      </c>
    </row>
    <row r="59">
      <c r="A59" t="inlineStr">
        <is>
          <t xml:space="preserve"> 임차료</t>
        </is>
      </c>
      <c r="B59" t="n">
        <v>5</v>
      </c>
      <c r="C59" t="n">
        <v>4</v>
      </c>
      <c r="D59" t="n">
        <v>3</v>
      </c>
      <c r="E59" t="n">
        <v>6</v>
      </c>
      <c r="F59" t="n">
        <v>3</v>
      </c>
      <c r="G59" t="n">
        <v>3</v>
      </c>
      <c r="H59" t="n">
        <v>5</v>
      </c>
      <c r="I59" t="n">
        <v>7</v>
      </c>
      <c r="J59" t="n">
        <v>6</v>
      </c>
      <c r="K59" t="n">
        <v>5</v>
      </c>
      <c r="L59" t="n">
        <v>7</v>
      </c>
      <c r="M59" t="n">
        <v>2</v>
      </c>
      <c r="N59">
        <f>SUM(B59:D59)</f>
        <v/>
      </c>
      <c r="O59">
        <f>SUM(E59:G59)</f>
        <v/>
      </c>
      <c r="P59">
        <f>SUM(H59:J59)</f>
        <v/>
      </c>
      <c r="Q59">
        <f>SUM(K59:M59)</f>
        <v/>
      </c>
      <c r="R59">
        <f>SUM(N59:O59)</f>
        <v/>
      </c>
      <c r="S59">
        <f>SUM(P59:Q59)</f>
        <v/>
      </c>
      <c r="T59">
        <f>R59+S59</f>
        <v/>
      </c>
    </row>
    <row r="60">
      <c r="A60" t="inlineStr">
        <is>
          <t xml:space="preserve"> 수도광열비</t>
        </is>
      </c>
      <c r="B60" t="n">
        <v>4</v>
      </c>
      <c r="C60" t="n">
        <v>3</v>
      </c>
      <c r="D60" t="n">
        <v>2</v>
      </c>
      <c r="E60" t="n">
        <v>5</v>
      </c>
      <c r="F60" t="n">
        <v>2</v>
      </c>
      <c r="G60" t="n">
        <v>2</v>
      </c>
      <c r="H60" t="n">
        <v>5</v>
      </c>
      <c r="I60" t="n">
        <v>5</v>
      </c>
      <c r="J60" t="n">
        <v>5</v>
      </c>
      <c r="K60" t="n">
        <v>4</v>
      </c>
      <c r="L60" t="n">
        <v>5</v>
      </c>
      <c r="M60" t="n">
        <v>2</v>
      </c>
      <c r="N60">
        <f>SUM(B60:D60)</f>
        <v/>
      </c>
      <c r="O60">
        <f>SUM(E60:G60)</f>
        <v/>
      </c>
      <c r="P60">
        <f>SUM(H60:J60)</f>
        <v/>
      </c>
      <c r="Q60">
        <f>SUM(K60:M60)</f>
        <v/>
      </c>
      <c r="R60">
        <f>SUM(N60:O60)</f>
        <v/>
      </c>
      <c r="S60">
        <f>SUM(P60:Q60)</f>
        <v/>
      </c>
      <c r="T60">
        <f>R60+S60</f>
        <v/>
      </c>
    </row>
    <row r="61">
      <c r="A61" t="inlineStr">
        <is>
          <t xml:space="preserve"> 광고선전비</t>
        </is>
      </c>
      <c r="B61" t="n">
        <v>8</v>
      </c>
      <c r="C61" t="n">
        <v>6</v>
      </c>
      <c r="D61" t="n">
        <v>4</v>
      </c>
      <c r="E61" t="n">
        <v>9</v>
      </c>
      <c r="F61" t="n">
        <v>4</v>
      </c>
      <c r="G61" t="n">
        <v>4</v>
      </c>
      <c r="H61" t="n">
        <v>10</v>
      </c>
      <c r="I61" t="n">
        <v>11</v>
      </c>
      <c r="J61" t="n">
        <v>9</v>
      </c>
      <c r="K61" t="n">
        <v>7</v>
      </c>
      <c r="L61" t="n">
        <v>10</v>
      </c>
      <c r="M61" t="n">
        <v>3</v>
      </c>
      <c r="N61">
        <f>SUM(B61:D61)</f>
        <v/>
      </c>
      <c r="O61">
        <f>SUM(E61:G61)</f>
        <v/>
      </c>
      <c r="P61">
        <f>SUM(H61:J61)</f>
        <v/>
      </c>
      <c r="Q61">
        <f>SUM(K61:M61)</f>
        <v/>
      </c>
      <c r="R61">
        <f>SUM(N61:O61)</f>
        <v/>
      </c>
      <c r="S61">
        <f>SUM(P61:Q61)</f>
        <v/>
      </c>
      <c r="T61">
        <f>R61+S61</f>
        <v/>
      </c>
    </row>
    <row r="62">
      <c r="A62" t="inlineStr">
        <is>
          <t xml:space="preserve"> 접대비(A)</t>
        </is>
      </c>
      <c r="B62" t="n">
        <v>4</v>
      </c>
      <c r="C62" t="n">
        <v>3</v>
      </c>
      <c r="D62" t="n">
        <v>2</v>
      </c>
      <c r="E62" t="n">
        <v>4</v>
      </c>
      <c r="F62" t="n">
        <v>2</v>
      </c>
      <c r="G62" t="n">
        <v>2</v>
      </c>
      <c r="H62" t="n">
        <v>4</v>
      </c>
      <c r="I62" t="n">
        <v>5</v>
      </c>
      <c r="J62" t="n">
        <v>5</v>
      </c>
      <c r="K62" t="n">
        <v>4</v>
      </c>
      <c r="L62" t="n">
        <v>5</v>
      </c>
      <c r="M62" t="n">
        <v>1</v>
      </c>
      <c r="N62">
        <f>SUM(B62:D62)</f>
        <v/>
      </c>
      <c r="O62">
        <f>SUM(E62:G62)</f>
        <v/>
      </c>
      <c r="P62">
        <f>SUM(H62:J62)</f>
        <v/>
      </c>
      <c r="Q62">
        <f>SUM(K62:M62)</f>
        <v/>
      </c>
      <c r="R62">
        <f>SUM(N62:O62)</f>
        <v/>
      </c>
      <c r="S62">
        <f>SUM(P62:Q62)</f>
        <v/>
      </c>
      <c r="T62">
        <f>R62+S62</f>
        <v/>
      </c>
    </row>
    <row r="63">
      <c r="A63" t="inlineStr">
        <is>
          <t xml:space="preserve"> 차량유지비</t>
        </is>
      </c>
      <c r="B63" t="n">
        <v>16</v>
      </c>
      <c r="C63" t="n">
        <v>9</v>
      </c>
      <c r="D63" t="n">
        <v>6</v>
      </c>
      <c r="E63" t="n">
        <v>17</v>
      </c>
      <c r="F63" t="n">
        <v>7</v>
      </c>
      <c r="G63" t="n">
        <v>8</v>
      </c>
      <c r="H63" t="n">
        <v>15</v>
      </c>
      <c r="I63" t="n">
        <v>21</v>
      </c>
      <c r="J63" t="n">
        <v>17</v>
      </c>
      <c r="K63" t="n">
        <v>13</v>
      </c>
      <c r="L63" t="n">
        <v>19</v>
      </c>
      <c r="M63" t="n">
        <v>5</v>
      </c>
      <c r="N63">
        <f>SUM(B63:D63)</f>
        <v/>
      </c>
      <c r="O63">
        <f>SUM(E63:G63)</f>
        <v/>
      </c>
      <c r="P63">
        <f>SUM(H63:J63)</f>
        <v/>
      </c>
      <c r="Q63">
        <f>SUM(K63:M63)</f>
        <v/>
      </c>
      <c r="R63">
        <f>SUM(N63:O63)</f>
        <v/>
      </c>
      <c r="S63">
        <f>SUM(P63:Q63)</f>
        <v/>
      </c>
      <c r="T63">
        <f>R63+S63</f>
        <v/>
      </c>
    </row>
    <row r="64">
      <c r="A64" t="inlineStr">
        <is>
          <t xml:space="preserve"> 운반비</t>
        </is>
      </c>
      <c r="B64" t="n">
        <v>11</v>
      </c>
      <c r="C64" t="n">
        <v>7</v>
      </c>
      <c r="D64" t="n">
        <v>5</v>
      </c>
      <c r="E64" t="n">
        <v>12</v>
      </c>
      <c r="F64" t="n">
        <v>4</v>
      </c>
      <c r="G64" t="n">
        <v>5</v>
      </c>
      <c r="H64" t="n">
        <v>10</v>
      </c>
      <c r="I64" t="n">
        <v>13</v>
      </c>
      <c r="J64" t="n">
        <v>12</v>
      </c>
      <c r="K64" t="n">
        <v>9</v>
      </c>
      <c r="L64" t="n">
        <v>14</v>
      </c>
      <c r="M64" t="n">
        <v>4</v>
      </c>
      <c r="N64">
        <f>SUM(B64:D64)</f>
        <v/>
      </c>
      <c r="O64">
        <f>SUM(E64:G64)</f>
        <v/>
      </c>
      <c r="P64">
        <f>SUM(H64:J64)</f>
        <v/>
      </c>
      <c r="Q64">
        <f>SUM(K64:M64)</f>
        <v/>
      </c>
      <c r="R64">
        <f>SUM(N64:O64)</f>
        <v/>
      </c>
      <c r="S64">
        <f>SUM(P64:Q64)</f>
        <v/>
      </c>
      <c r="T64">
        <f>R64+S64</f>
        <v/>
      </c>
    </row>
    <row r="65">
      <c r="A65" t="inlineStr">
        <is>
          <t xml:space="preserve"> 지급수수료</t>
        </is>
      </c>
      <c r="B65" t="n">
        <v>4</v>
      </c>
      <c r="C65" t="n">
        <v>3</v>
      </c>
      <c r="D65" t="n">
        <v>2</v>
      </c>
      <c r="E65" t="n">
        <v>5</v>
      </c>
      <c r="F65" t="n">
        <v>2</v>
      </c>
      <c r="G65" t="n">
        <v>2</v>
      </c>
      <c r="H65" t="n">
        <v>5</v>
      </c>
      <c r="I65" t="n">
        <v>5</v>
      </c>
      <c r="J65" t="n">
        <v>5</v>
      </c>
      <c r="K65" t="n">
        <v>3</v>
      </c>
      <c r="L65" t="n">
        <v>5</v>
      </c>
      <c r="M65" t="n">
        <v>1</v>
      </c>
      <c r="N65">
        <f>SUM(B65:D65)</f>
        <v/>
      </c>
      <c r="O65">
        <f>SUM(E65:G65)</f>
        <v/>
      </c>
      <c r="P65">
        <f>SUM(H65:J65)</f>
        <v/>
      </c>
      <c r="Q65">
        <f>SUM(K65:M65)</f>
        <v/>
      </c>
      <c r="R65">
        <f>SUM(N65:O65)</f>
        <v/>
      </c>
      <c r="S65">
        <f>SUM(P65:Q65)</f>
        <v/>
      </c>
      <c r="T65">
        <f>R65+S65</f>
        <v/>
      </c>
    </row>
    <row r="66">
      <c r="A66" t="inlineStr">
        <is>
          <t xml:space="preserve"> 수출비용(A)</t>
        </is>
      </c>
      <c r="B66" t="n">
        <v>15</v>
      </c>
      <c r="C66" t="n">
        <v>10</v>
      </c>
      <c r="D66" t="n">
        <v>8</v>
      </c>
      <c r="E66" t="n">
        <v>17</v>
      </c>
      <c r="F66" t="n">
        <v>5</v>
      </c>
      <c r="G66" t="n">
        <v>9</v>
      </c>
      <c r="H66" t="n">
        <v>14</v>
      </c>
      <c r="I66" t="n">
        <v>17</v>
      </c>
      <c r="J66" t="n">
        <v>18</v>
      </c>
      <c r="K66" t="n">
        <v>12</v>
      </c>
      <c r="L66" t="n">
        <v>21</v>
      </c>
      <c r="M66" t="n">
        <v>5</v>
      </c>
      <c r="N66">
        <f>SUM(B66:D66)</f>
        <v/>
      </c>
      <c r="O66">
        <f>SUM(E66:G66)</f>
        <v/>
      </c>
      <c r="P66">
        <f>SUM(H66:J66)</f>
        <v/>
      </c>
      <c r="Q66">
        <f>SUM(K66:M66)</f>
        <v/>
      </c>
      <c r="R66">
        <f>SUM(N66:O66)</f>
        <v/>
      </c>
      <c r="S66">
        <f>SUM(P66:Q66)</f>
        <v/>
      </c>
      <c r="T66">
        <f>R66+S66</f>
        <v/>
      </c>
    </row>
    <row r="67">
      <c r="A67" t="inlineStr">
        <is>
          <t xml:space="preserve"> 교육훈련비</t>
        </is>
      </c>
      <c r="B67" t="n">
        <v>6</v>
      </c>
      <c r="C67" t="n">
        <v>4</v>
      </c>
      <c r="D67" t="n">
        <v>3</v>
      </c>
      <c r="E67" t="n">
        <v>6</v>
      </c>
      <c r="F67" t="n">
        <v>3</v>
      </c>
      <c r="G67" t="n">
        <v>2</v>
      </c>
      <c r="H67" t="n">
        <v>6</v>
      </c>
      <c r="I67" t="n">
        <v>7</v>
      </c>
      <c r="J67" t="n">
        <v>5</v>
      </c>
      <c r="K67" t="n">
        <v>5</v>
      </c>
      <c r="L67" t="n">
        <v>7</v>
      </c>
      <c r="M67" t="n">
        <v>2</v>
      </c>
      <c r="N67">
        <f>SUM(B67:D67)</f>
        <v/>
      </c>
      <c r="O67">
        <f>SUM(E67:G67)</f>
        <v/>
      </c>
      <c r="P67">
        <f>SUM(H67:J67)</f>
        <v/>
      </c>
      <c r="Q67">
        <f>SUM(K67:M67)</f>
        <v/>
      </c>
      <c r="R67">
        <f>SUM(N67:O67)</f>
        <v/>
      </c>
      <c r="S67">
        <f>SUM(P67:Q67)</f>
        <v/>
      </c>
      <c r="T67">
        <f>R67+S67</f>
        <v/>
      </c>
    </row>
    <row r="68">
      <c r="A68" t="inlineStr">
        <is>
          <t xml:space="preserve"> 감가상각비</t>
        </is>
      </c>
      <c r="B68" t="n">
        <v>4</v>
      </c>
      <c r="C68" t="n">
        <v>2</v>
      </c>
      <c r="D68" t="n">
        <v>2</v>
      </c>
      <c r="E68" t="n">
        <v>3</v>
      </c>
      <c r="F68" t="n">
        <v>2</v>
      </c>
      <c r="G68" t="n">
        <v>2</v>
      </c>
      <c r="H68" t="n">
        <v>3</v>
      </c>
      <c r="I68" t="n">
        <v>4</v>
      </c>
      <c r="J68" t="n">
        <v>4</v>
      </c>
      <c r="K68" t="n">
        <v>2</v>
      </c>
      <c r="L68" t="n">
        <v>4</v>
      </c>
      <c r="M68" t="n">
        <v>1</v>
      </c>
      <c r="N68">
        <f>SUM(B68:D68)</f>
        <v/>
      </c>
      <c r="O68">
        <f>SUM(E68:G68)</f>
        <v/>
      </c>
      <c r="P68">
        <f>SUM(H68:J68)</f>
        <v/>
      </c>
      <c r="Q68">
        <f>SUM(K68:M68)</f>
        <v/>
      </c>
      <c r="R68">
        <f>SUM(N68:O68)</f>
        <v/>
      </c>
      <c r="S68">
        <f>SUM(P68:Q68)</f>
        <v/>
      </c>
      <c r="T68">
        <f>R68+S68</f>
        <v/>
      </c>
    </row>
    <row r="69">
      <c r="A69" t="inlineStr">
        <is>
          <t xml:space="preserve"> 무형자산상각비</t>
        </is>
      </c>
      <c r="B69" t="n">
        <v>5</v>
      </c>
      <c r="C69" t="n">
        <v>4</v>
      </c>
      <c r="D69" t="n">
        <v>2</v>
      </c>
      <c r="E69" t="n">
        <v>7</v>
      </c>
      <c r="F69" t="n">
        <v>2</v>
      </c>
      <c r="G69" t="n">
        <v>3</v>
      </c>
      <c r="H69" t="n">
        <v>5</v>
      </c>
      <c r="I69" t="n">
        <v>6</v>
      </c>
      <c r="J69" t="n">
        <v>6</v>
      </c>
      <c r="K69" t="n">
        <v>4</v>
      </c>
      <c r="L69" t="n">
        <v>7</v>
      </c>
      <c r="M69" t="n">
        <v>2</v>
      </c>
      <c r="N69">
        <f>SUM(B69:D69)</f>
        <v/>
      </c>
      <c r="O69">
        <f>SUM(E69:G69)</f>
        <v/>
      </c>
      <c r="P69">
        <f>SUM(H69:J69)</f>
        <v/>
      </c>
      <c r="Q69">
        <f>SUM(K69:M69)</f>
        <v/>
      </c>
      <c r="R69">
        <f>SUM(N69:O69)</f>
        <v/>
      </c>
      <c r="S69">
        <f>SUM(P69:Q69)</f>
        <v/>
      </c>
      <c r="T69">
        <f>R69+S69</f>
        <v/>
      </c>
    </row>
    <row r="70">
      <c r="A70" t="inlineStr">
        <is>
          <t xml:space="preserve"> 수선유지비</t>
        </is>
      </c>
      <c r="B70" t="n">
        <v>11</v>
      </c>
      <c r="C70" t="n">
        <v>8</v>
      </c>
      <c r="D70" t="n">
        <v>5</v>
      </c>
      <c r="E70" t="n">
        <v>12</v>
      </c>
      <c r="F70" t="n">
        <v>4</v>
      </c>
      <c r="G70" t="n">
        <v>5</v>
      </c>
      <c r="H70" t="n">
        <v>11</v>
      </c>
      <c r="I70" t="n">
        <v>13</v>
      </c>
      <c r="J70" t="n">
        <v>10</v>
      </c>
      <c r="K70" t="n">
        <v>10</v>
      </c>
      <c r="L70" t="n">
        <v>13</v>
      </c>
      <c r="M70" t="n">
        <v>4</v>
      </c>
      <c r="N70">
        <f>SUM(B70:D70)</f>
        <v/>
      </c>
      <c r="O70">
        <f>SUM(E70:G70)</f>
        <v/>
      </c>
      <c r="P70">
        <f>SUM(H70:J70)</f>
        <v/>
      </c>
      <c r="Q70">
        <f>SUM(K70:M70)</f>
        <v/>
      </c>
      <c r="R70">
        <f>SUM(N70:O70)</f>
        <v/>
      </c>
      <c r="S70">
        <f>SUM(P70:Q70)</f>
        <v/>
      </c>
      <c r="T70">
        <f>R70+S70</f>
        <v/>
      </c>
    </row>
    <row r="71">
      <c r="A71" t="inlineStr">
        <is>
          <t xml:space="preserve"> 보험료</t>
        </is>
      </c>
      <c r="B71" t="n">
        <v>10</v>
      </c>
      <c r="C71" t="n">
        <v>7</v>
      </c>
      <c r="D71" t="n">
        <v>6</v>
      </c>
      <c r="E71" t="n">
        <v>11</v>
      </c>
      <c r="F71" t="n">
        <v>4</v>
      </c>
      <c r="G71" t="n">
        <v>6</v>
      </c>
      <c r="H71" t="n">
        <v>11</v>
      </c>
      <c r="I71" t="n">
        <v>15</v>
      </c>
      <c r="J71" t="n">
        <v>12</v>
      </c>
      <c r="K71" t="n">
        <v>8</v>
      </c>
      <c r="L71" t="n">
        <v>13</v>
      </c>
      <c r="M71" t="n">
        <v>4</v>
      </c>
      <c r="N71">
        <f>SUM(B71:D71)</f>
        <v/>
      </c>
      <c r="O71">
        <f>SUM(E71:G71)</f>
        <v/>
      </c>
      <c r="P71">
        <f>SUM(H71:J71)</f>
        <v/>
      </c>
      <c r="Q71">
        <f>SUM(K71:M71)</f>
        <v/>
      </c>
      <c r="R71">
        <f>SUM(N71:O71)</f>
        <v/>
      </c>
      <c r="S71">
        <f>SUM(P71:Q71)</f>
        <v/>
      </c>
      <c r="T71">
        <f>R71+S71</f>
        <v/>
      </c>
    </row>
    <row r="72">
      <c r="A72" t="inlineStr">
        <is>
          <t xml:space="preserve"> 회의비</t>
        </is>
      </c>
      <c r="B72" t="n">
        <v>4</v>
      </c>
      <c r="C72" t="n">
        <v>3</v>
      </c>
      <c r="D72" t="n">
        <v>2</v>
      </c>
      <c r="E72" t="n">
        <v>4</v>
      </c>
      <c r="F72" t="n">
        <v>2</v>
      </c>
      <c r="G72" t="n">
        <v>2</v>
      </c>
      <c r="H72" t="n">
        <v>4</v>
      </c>
      <c r="I72" t="n">
        <v>5</v>
      </c>
      <c r="J72" t="n">
        <v>4</v>
      </c>
      <c r="K72" t="n">
        <v>3</v>
      </c>
      <c r="L72" t="n">
        <v>4</v>
      </c>
      <c r="M72" t="n">
        <v>2</v>
      </c>
      <c r="N72">
        <f>SUM(B72:D72)</f>
        <v/>
      </c>
      <c r="O72">
        <f>SUM(E72:G72)</f>
        <v/>
      </c>
      <c r="P72">
        <f>SUM(H72:J72)</f>
        <v/>
      </c>
      <c r="Q72">
        <f>SUM(K72:M72)</f>
        <v/>
      </c>
      <c r="R72">
        <f>SUM(N72:O72)</f>
        <v/>
      </c>
      <c r="S72">
        <f>SUM(P72:Q72)</f>
        <v/>
      </c>
      <c r="T72">
        <f>R72+S72</f>
        <v/>
      </c>
    </row>
    <row r="73">
      <c r="A73" t="inlineStr">
        <is>
          <t xml:space="preserve"> 시험설치비(A)</t>
        </is>
      </c>
      <c r="B73" t="n">
        <v>3</v>
      </c>
      <c r="C73" t="n">
        <v>2</v>
      </c>
      <c r="D73" t="n">
        <v>1</v>
      </c>
      <c r="E73" t="n">
        <v>4</v>
      </c>
      <c r="F73" t="n">
        <v>1</v>
      </c>
      <c r="G73" t="n">
        <v>2</v>
      </c>
      <c r="H73" t="n">
        <v>3</v>
      </c>
      <c r="I73" t="n">
        <v>5</v>
      </c>
      <c r="J73" t="n">
        <v>3</v>
      </c>
      <c r="K73" t="n">
        <v>2</v>
      </c>
      <c r="L73" t="n">
        <v>4</v>
      </c>
      <c r="M73" t="n">
        <v>1</v>
      </c>
      <c r="N73">
        <f>SUM(B73:D73)</f>
        <v/>
      </c>
      <c r="O73">
        <f>SUM(E73:G73)</f>
        <v/>
      </c>
      <c r="P73">
        <f>SUM(H73:J73)</f>
        <v/>
      </c>
      <c r="Q73">
        <f>SUM(K73:M73)</f>
        <v/>
      </c>
      <c r="R73">
        <f>SUM(N73:O73)</f>
        <v/>
      </c>
      <c r="S73">
        <f>SUM(P73:Q73)</f>
        <v/>
      </c>
      <c r="T73">
        <f>R73+S73</f>
        <v/>
      </c>
    </row>
    <row r="74">
      <c r="A74" t="inlineStr">
        <is>
          <t xml:space="preserve"> 경상연구개발비</t>
        </is>
      </c>
      <c r="B74" t="n">
        <v>3</v>
      </c>
      <c r="C74" t="n">
        <v>2</v>
      </c>
      <c r="D74" t="n">
        <v>2</v>
      </c>
      <c r="E74" t="n">
        <v>4</v>
      </c>
      <c r="F74" t="n">
        <v>2</v>
      </c>
      <c r="G74" t="n">
        <v>2</v>
      </c>
      <c r="H74" t="n">
        <v>4</v>
      </c>
      <c r="I74" t="n">
        <v>4</v>
      </c>
      <c r="J74" t="n">
        <v>4</v>
      </c>
      <c r="K74" t="n">
        <v>3</v>
      </c>
      <c r="L74" t="n">
        <v>4</v>
      </c>
      <c r="M74" t="n">
        <v>1</v>
      </c>
      <c r="N74">
        <f>SUM(B74:D74)</f>
        <v/>
      </c>
      <c r="O74">
        <f>SUM(E74:G74)</f>
        <v/>
      </c>
      <c r="P74">
        <f>SUM(H74:J74)</f>
        <v/>
      </c>
      <c r="Q74">
        <f>SUM(K74:M74)</f>
        <v/>
      </c>
      <c r="R74">
        <f>SUM(N74:O74)</f>
        <v/>
      </c>
      <c r="S74">
        <f>SUM(P74:Q74)</f>
        <v/>
      </c>
      <c r="T74">
        <f>R74+S74</f>
        <v/>
      </c>
    </row>
    <row r="75">
      <c r="A75" t="inlineStr">
        <is>
          <t xml:space="preserve"> 연구개발비(국책과제</t>
        </is>
      </c>
      <c r="B75" t="n">
        <v>6</v>
      </c>
      <c r="C75" t="n">
        <v>4</v>
      </c>
      <c r="D75" t="n">
        <v>2</v>
      </c>
      <c r="E75" t="n">
        <v>6</v>
      </c>
      <c r="F75" t="n">
        <v>3</v>
      </c>
      <c r="G75" t="n">
        <v>3</v>
      </c>
      <c r="H75" t="n">
        <v>5</v>
      </c>
      <c r="I75" t="n">
        <v>6</v>
      </c>
      <c r="J75" t="n">
        <v>6</v>
      </c>
      <c r="K75" t="n">
        <v>4</v>
      </c>
      <c r="L75" t="n">
        <v>7</v>
      </c>
      <c r="M75" t="n">
        <v>2</v>
      </c>
      <c r="N75">
        <f>SUM(B75:D75)</f>
        <v/>
      </c>
      <c r="O75">
        <f>SUM(E75:G75)</f>
        <v/>
      </c>
      <c r="P75">
        <f>SUM(H75:J75)</f>
        <v/>
      </c>
      <c r="Q75">
        <f>SUM(K75:M75)</f>
        <v/>
      </c>
      <c r="R75">
        <f>SUM(N75:O75)</f>
        <v/>
      </c>
      <c r="S75">
        <f>SUM(P75:Q75)</f>
        <v/>
      </c>
      <c r="T75">
        <f>R75+S75</f>
        <v/>
      </c>
    </row>
    <row r="76">
      <c r="A76" t="inlineStr">
        <is>
          <t xml:space="preserve"> 판매보증비</t>
        </is>
      </c>
      <c r="B76" t="n">
        <v>7</v>
      </c>
      <c r="C76" t="n">
        <v>5</v>
      </c>
      <c r="D76" t="n">
        <v>3</v>
      </c>
      <c r="E76" t="n">
        <v>8</v>
      </c>
      <c r="F76" t="n">
        <v>3</v>
      </c>
      <c r="G76" t="n">
        <v>3</v>
      </c>
      <c r="H76" t="n">
        <v>7</v>
      </c>
      <c r="I76" t="n">
        <v>8</v>
      </c>
      <c r="J76" t="n">
        <v>7</v>
      </c>
      <c r="K76" t="n">
        <v>5</v>
      </c>
      <c r="L76" t="n">
        <v>7</v>
      </c>
      <c r="M76" t="n">
        <v>3</v>
      </c>
      <c r="N76">
        <f>SUM(B76:D76)</f>
        <v/>
      </c>
      <c r="O76">
        <f>SUM(E76:G76)</f>
        <v/>
      </c>
      <c r="P76">
        <f>SUM(H76:J76)</f>
        <v/>
      </c>
      <c r="Q76">
        <f>SUM(K76:M76)</f>
        <v/>
      </c>
      <c r="R76">
        <f>SUM(N76:O76)</f>
        <v/>
      </c>
      <c r="S76">
        <f>SUM(P76:Q76)</f>
        <v/>
      </c>
      <c r="T76">
        <f>R76+S76</f>
        <v/>
      </c>
    </row>
    <row r="77">
      <c r="A77" t="inlineStr">
        <is>
          <t xml:space="preserve"> 대손충당금환입</t>
        </is>
      </c>
      <c r="B77" t="n">
        <v>2</v>
      </c>
      <c r="C77" t="n">
        <v>1</v>
      </c>
      <c r="D77" t="n">
        <v>1</v>
      </c>
      <c r="E77" t="n">
        <v>2</v>
      </c>
      <c r="F77" t="n">
        <v>1</v>
      </c>
      <c r="G77" t="n">
        <v>1</v>
      </c>
      <c r="H77" t="n">
        <v>2</v>
      </c>
      <c r="I77" t="n">
        <v>2</v>
      </c>
      <c r="J77" t="n">
        <v>2</v>
      </c>
      <c r="K77" t="n">
        <v>1</v>
      </c>
      <c r="L77" t="n">
        <v>2</v>
      </c>
      <c r="M77" t="n">
        <v>1</v>
      </c>
      <c r="N77">
        <f>SUM(B77:D77)</f>
        <v/>
      </c>
      <c r="O77">
        <f>SUM(E77:G77)</f>
        <v/>
      </c>
      <c r="P77">
        <f>SUM(H77:J77)</f>
        <v/>
      </c>
      <c r="Q77">
        <f>SUM(K77:M77)</f>
        <v/>
      </c>
      <c r="R77">
        <f>SUM(N77:O77)</f>
        <v/>
      </c>
      <c r="S77">
        <f>SUM(P77:Q77)</f>
        <v/>
      </c>
      <c r="T77">
        <f>R77+S77</f>
        <v/>
      </c>
    </row>
    <row r="78">
      <c r="A78" t="inlineStr">
        <is>
          <t xml:space="preserve"> 불량제품손실</t>
        </is>
      </c>
      <c r="B78" t="n">
        <v>7</v>
      </c>
      <c r="C78" t="n">
        <v>4</v>
      </c>
      <c r="D78" t="n">
        <v>3</v>
      </c>
      <c r="E78" t="n">
        <v>7</v>
      </c>
      <c r="F78" t="n">
        <v>3</v>
      </c>
      <c r="G78" t="n">
        <v>3</v>
      </c>
      <c r="H78" t="n">
        <v>5</v>
      </c>
      <c r="I78" t="n">
        <v>8</v>
      </c>
      <c r="J78" t="n">
        <v>6</v>
      </c>
      <c r="K78" t="n">
        <v>6</v>
      </c>
      <c r="L78" t="n">
        <v>7</v>
      </c>
      <c r="M78" t="n">
        <v>2</v>
      </c>
      <c r="N78">
        <f>SUM(B78:D78)</f>
        <v/>
      </c>
      <c r="O78">
        <f>SUM(E78:G78)</f>
        <v/>
      </c>
      <c r="P78">
        <f>SUM(H78:J78)</f>
        <v/>
      </c>
      <c r="Q78">
        <f>SUM(K78:M78)</f>
        <v/>
      </c>
      <c r="R78">
        <f>SUM(N78:O78)</f>
        <v/>
      </c>
      <c r="S78">
        <f>SUM(P78:Q78)</f>
        <v/>
      </c>
      <c r="T78">
        <f>R78+S78</f>
        <v/>
      </c>
    </row>
    <row r="79">
      <c r="A79" t="inlineStr">
        <is>
          <t xml:space="preserve"> 판관비_기타</t>
        </is>
      </c>
      <c r="B79" t="n">
        <v>11</v>
      </c>
      <c r="C79" t="n">
        <v>7</v>
      </c>
      <c r="D79" t="n">
        <v>5</v>
      </c>
      <c r="E79" t="n">
        <v>13</v>
      </c>
      <c r="F79" t="n">
        <v>5</v>
      </c>
      <c r="G79" t="n">
        <v>5</v>
      </c>
      <c r="H79" t="n">
        <v>9</v>
      </c>
      <c r="I79" t="n">
        <v>13</v>
      </c>
      <c r="J79" t="n">
        <v>11</v>
      </c>
      <c r="K79" t="n">
        <v>9</v>
      </c>
      <c r="L79" t="n">
        <v>12</v>
      </c>
      <c r="M79" t="n">
        <v>4</v>
      </c>
      <c r="N79">
        <f>SUM(B79:D79)</f>
        <v/>
      </c>
      <c r="O79">
        <f>SUM(E79:G79)</f>
        <v/>
      </c>
      <c r="P79">
        <f>SUM(H79:J79)</f>
        <v/>
      </c>
      <c r="Q79">
        <f>SUM(K79:M79)</f>
        <v/>
      </c>
      <c r="R79">
        <f>SUM(N79:O79)</f>
        <v/>
      </c>
      <c r="S79">
        <f>SUM(P79:Q79)</f>
        <v/>
      </c>
      <c r="T79">
        <f>R79+S79</f>
        <v/>
      </c>
    </row>
    <row r="80">
      <c r="A80" t="inlineStr">
        <is>
          <t xml:space="preserve"> 수출비용_해상운임(</t>
        </is>
      </c>
      <c r="B80" t="n">
        <v>4</v>
      </c>
      <c r="C80" t="n">
        <v>3</v>
      </c>
      <c r="D80" t="n">
        <v>2</v>
      </c>
      <c r="E80" t="n">
        <v>5</v>
      </c>
      <c r="F80" t="n">
        <v>2</v>
      </c>
      <c r="G80" t="n">
        <v>2</v>
      </c>
      <c r="H80" t="n">
        <v>4</v>
      </c>
      <c r="I80" t="n">
        <v>5</v>
      </c>
      <c r="J80" t="n">
        <v>5</v>
      </c>
      <c r="K80" t="n">
        <v>3</v>
      </c>
      <c r="L80" t="n">
        <v>4</v>
      </c>
      <c r="M80" t="n">
        <v>2</v>
      </c>
      <c r="N80">
        <f>SUM(B80:D80)</f>
        <v/>
      </c>
      <c r="O80">
        <f>SUM(E80:G80)</f>
        <v/>
      </c>
      <c r="P80">
        <f>SUM(H80:J80)</f>
        <v/>
      </c>
      <c r="Q80">
        <f>SUM(K80:M80)</f>
        <v/>
      </c>
      <c r="R80">
        <f>SUM(N80:O80)</f>
        <v/>
      </c>
      <c r="S80">
        <f>SUM(P80:Q80)</f>
        <v/>
      </c>
      <c r="T80">
        <f>R80+S80</f>
        <v/>
      </c>
    </row>
    <row r="81">
      <c r="A81" t="inlineStr">
        <is>
          <t xml:space="preserve"> 영업이익(A)</t>
        </is>
      </c>
      <c r="B81">
        <f>B41-B42</f>
        <v/>
      </c>
      <c r="C81">
        <f>C41-C42</f>
        <v/>
      </c>
      <c r="D81">
        <f>D41-D42</f>
        <v/>
      </c>
      <c r="E81">
        <f>E41-E42</f>
        <v/>
      </c>
      <c r="F81">
        <f>F41-F42</f>
        <v/>
      </c>
      <c r="G81">
        <f>G41-G42</f>
        <v/>
      </c>
      <c r="H81">
        <f>H41-H42</f>
        <v/>
      </c>
      <c r="I81">
        <f>I41-I42</f>
        <v/>
      </c>
      <c r="J81">
        <f>J41-J42</f>
        <v/>
      </c>
      <c r="K81">
        <f>K41-K42</f>
        <v/>
      </c>
      <c r="L81">
        <f>L41-L42</f>
        <v/>
      </c>
      <c r="M81">
        <f>M41-M42</f>
        <v/>
      </c>
      <c r="N81">
        <f>N41-N42</f>
        <v/>
      </c>
      <c r="O81">
        <f>O41-O42</f>
        <v/>
      </c>
      <c r="P81">
        <f>P41-P42</f>
        <v/>
      </c>
      <c r="Q81">
        <f>Q41-Q42</f>
        <v/>
      </c>
      <c r="R81">
        <f>R41-R42</f>
        <v/>
      </c>
      <c r="S81">
        <f>S41-S42</f>
        <v/>
      </c>
      <c r="T81">
        <f>T41-T42</f>
        <v/>
      </c>
    </row>
    <row r="82">
      <c r="B82">
        <f>IFERROR(B81/B5,0)</f>
        <v/>
      </c>
      <c r="C82">
        <f>IFERROR(C81/C5,0)</f>
        <v/>
      </c>
      <c r="D82">
        <f>IFERROR(D81/D5,0)</f>
        <v/>
      </c>
      <c r="E82">
        <f>IFERROR(E81/E5,0)</f>
        <v/>
      </c>
      <c r="F82">
        <f>IFERROR(F81/F5,0)</f>
        <v/>
      </c>
      <c r="G82">
        <f>IFERROR(G81/G5,0)</f>
        <v/>
      </c>
      <c r="H82">
        <f>IFERROR(H81/H5,0)</f>
        <v/>
      </c>
      <c r="I82">
        <f>IFERROR(I81/I5,0)</f>
        <v/>
      </c>
      <c r="J82">
        <f>IFERROR(J81/J5,0)</f>
        <v/>
      </c>
      <c r="K82">
        <f>IFERROR(K81/K5,0)</f>
        <v/>
      </c>
      <c r="L82">
        <f>IFERROR(L81/L5,0)</f>
        <v/>
      </c>
      <c r="M82">
        <f>IFERROR(M81/M5,0)</f>
        <v/>
      </c>
      <c r="N82">
        <f>IFERROR(N81/N5,0)</f>
        <v/>
      </c>
      <c r="O82">
        <f>IFERROR(O81/O5,0)</f>
        <v/>
      </c>
      <c r="P82">
        <f>IFERROR(P81/P5,0)</f>
        <v/>
      </c>
      <c r="Q82">
        <f>IFERROR(Q81/Q5,0)</f>
        <v/>
      </c>
      <c r="R82">
        <f>IFERROR(R81/R5,0)</f>
        <v/>
      </c>
      <c r="S82">
        <f>IFERROR(S81/S5,0)</f>
        <v/>
      </c>
      <c r="T82">
        <f>IFERROR(T81/T5,0)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2026-09-15T06:39:39Z</dcterms:created>
  <dcterms:modified xsi:type="dcterms:W3CDTF">2026-09-15T06:39:39Z</dcterms:modified>
</cp:coreProperties>
</file>