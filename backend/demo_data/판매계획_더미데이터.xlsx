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군별 SUMMARY" sheetId="1" state="visible" r:id="rId1"/>
    <sheet name="고정형" sheetId="2" state="visible" r:id="rId2"/>
    <sheet name="모티브" sheetId="3" state="visible" r:id="rId3"/>
    <sheet name="차량대리점" sheetId="4" state="visible" r:id="rId4"/>
    <sheet name="차량OE" sheetId="5" state="visible" r:id="rId5"/>
    <sheet name="인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C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2">
      <c r="A2" s="1" t="inlineStr">
        <is>
          <t xml:space="preserve"> 2026년 국내영업본부 제품군별 판매계획 (더미데이터)</t>
        </is>
      </c>
    </row>
    <row r="6">
      <c r="AC6" t="inlineStr">
        <is>
          <t>(단위-대, 백만원)</t>
        </is>
      </c>
    </row>
    <row r="7">
      <c r="A7" t="inlineStr">
        <is>
          <t>담당</t>
        </is>
      </c>
      <c r="B7" t="inlineStr">
        <is>
          <t>구분</t>
        </is>
      </c>
      <c r="C7" t="inlineStr">
        <is>
          <t>제품군</t>
        </is>
      </c>
      <c r="D7" t="inlineStr">
        <is>
          <t>1월</t>
        </is>
      </c>
      <c r="F7" t="inlineStr">
        <is>
          <t>2월</t>
        </is>
      </c>
      <c r="H7" t="inlineStr">
        <is>
          <t>3월</t>
        </is>
      </c>
      <c r="J7" t="inlineStr">
        <is>
          <t>4월</t>
        </is>
      </c>
      <c r="L7" t="inlineStr">
        <is>
          <t>5월</t>
        </is>
      </c>
      <c r="N7" t="inlineStr">
        <is>
          <t>6월</t>
        </is>
      </c>
      <c r="P7" t="inlineStr">
        <is>
          <t>7월</t>
        </is>
      </c>
      <c r="R7" t="inlineStr">
        <is>
          <t>8월</t>
        </is>
      </c>
      <c r="T7" t="inlineStr">
        <is>
          <t>9월</t>
        </is>
      </c>
      <c r="V7" t="inlineStr">
        <is>
          <t>10월</t>
        </is>
      </c>
      <c r="X7" t="inlineStr">
        <is>
          <t>11월</t>
        </is>
      </c>
      <c r="Z7" t="inlineStr">
        <is>
          <t>12월</t>
        </is>
      </c>
      <c r="AB7" t="inlineStr">
        <is>
          <t>연간 합계</t>
        </is>
      </c>
    </row>
    <row r="8">
      <c r="D8" t="inlineStr">
        <is>
          <t>수량</t>
        </is>
      </c>
      <c r="E8" t="inlineStr">
        <is>
          <t>금액</t>
        </is>
      </c>
      <c r="F8" t="inlineStr">
        <is>
          <t>수량</t>
        </is>
      </c>
      <c r="G8" t="inlineStr">
        <is>
          <t>금액</t>
        </is>
      </c>
      <c r="H8" t="inlineStr">
        <is>
          <t>수량</t>
        </is>
      </c>
      <c r="I8" t="inlineStr">
        <is>
          <t>금액</t>
        </is>
      </c>
      <c r="J8" t="inlineStr">
        <is>
          <t>수량</t>
        </is>
      </c>
      <c r="K8" t="inlineStr">
        <is>
          <t>금액</t>
        </is>
      </c>
      <c r="L8" t="inlineStr">
        <is>
          <t>수량</t>
        </is>
      </c>
      <c r="M8" t="inlineStr">
        <is>
          <t>금액</t>
        </is>
      </c>
      <c r="N8" t="inlineStr">
        <is>
          <t>수량</t>
        </is>
      </c>
      <c r="O8" t="inlineStr">
        <is>
          <t>금액</t>
        </is>
      </c>
      <c r="P8" t="inlineStr">
        <is>
          <t>수량</t>
        </is>
      </c>
      <c r="Q8" t="inlineStr">
        <is>
          <t>금액</t>
        </is>
      </c>
      <c r="R8" t="inlineStr">
        <is>
          <t>수량</t>
        </is>
      </c>
      <c r="S8" t="inlineStr">
        <is>
          <t>금액</t>
        </is>
      </c>
      <c r="T8" t="inlineStr">
        <is>
          <t>수량</t>
        </is>
      </c>
      <c r="U8" t="inlineStr">
        <is>
          <t>금액</t>
        </is>
      </c>
      <c r="V8" t="inlineStr">
        <is>
          <t>수량</t>
        </is>
      </c>
      <c r="W8" t="inlineStr">
        <is>
          <t>금액</t>
        </is>
      </c>
      <c r="X8" t="inlineStr">
        <is>
          <t>수량</t>
        </is>
      </c>
      <c r="Y8" t="inlineStr">
        <is>
          <t>금액</t>
        </is>
      </c>
      <c r="Z8" t="inlineStr">
        <is>
          <t>수량</t>
        </is>
      </c>
      <c r="AA8" t="inlineStr">
        <is>
          <t>금액</t>
        </is>
      </c>
    </row>
    <row r="9">
      <c r="A9" t="inlineStr">
        <is>
          <t>산전
부문</t>
        </is>
      </c>
      <c r="B9" t="inlineStr">
        <is>
          <t>모티브</t>
        </is>
      </c>
      <c r="C9" t="inlineStr">
        <is>
          <t>V-Type(Cell)</t>
        </is>
      </c>
      <c r="D9">
        <f>SUMIF(모티브!$BF:$BF,'제품군별 SUMMARY'!$C9,모티브!P:P)</f>
        <v/>
      </c>
      <c r="E9">
        <f>SUMIF(모티브!$BF:$BF,'제품군별 SUMMARY'!$C9,모티브!Q:Q)/1000000</f>
        <v/>
      </c>
      <c r="F9">
        <f>SUMIF(모티브!$BF:$BF,'제품군별 SUMMARY'!$C9,모티브!S:S)</f>
        <v/>
      </c>
      <c r="G9">
        <f>SUMIF(모티브!$BF:$BF,'제품군별 SUMMARY'!$C9,모티브!T:T)/1000000</f>
        <v/>
      </c>
      <c r="H9">
        <f>SUMIF(모티브!$BF:$BF,'제품군별 SUMMARY'!$C9,모티브!V:V)</f>
        <v/>
      </c>
      <c r="I9">
        <f>SUMIF(모티브!$BF:$BF,'제품군별 SUMMARY'!$C9,모티브!W:W)/1000000</f>
        <v/>
      </c>
      <c r="J9">
        <f>SUMIF(모티브!$BF:$BF,'제품군별 SUMMARY'!$C9,모티브!Y:Y)</f>
        <v/>
      </c>
      <c r="K9">
        <f>SUMIF(모티브!$BF:$BF,'제품군별 SUMMARY'!$C9,모티브!Z:Z)/1000000</f>
        <v/>
      </c>
      <c r="L9">
        <f>SUMIF(모티브!$BF:$BF,'제품군별 SUMMARY'!$C9,모티브!AB:AB)</f>
        <v/>
      </c>
      <c r="M9">
        <f>SUMIF(모티브!$BF:$BF,'제품군별 SUMMARY'!$C9,모티브!AC:AC)/1000000</f>
        <v/>
      </c>
      <c r="N9">
        <f>SUMIF(모티브!$BF:$BF,'제품군별 SUMMARY'!$C9,모티브!AE:AE)</f>
        <v/>
      </c>
      <c r="O9">
        <f>SUMIF(모티브!$BF:$BF,'제품군별 SUMMARY'!$C9,모티브!AF:AF)/1000000</f>
        <v/>
      </c>
      <c r="P9">
        <f>SUMIF(모티브!$BF:$BF,'제품군별 SUMMARY'!$C9,모티브!AH:AH)</f>
        <v/>
      </c>
      <c r="Q9">
        <f>SUMIF(모티브!$BF:$BF,'제품군별 SUMMARY'!$C9,모티브!AI:AI)/1000000</f>
        <v/>
      </c>
      <c r="R9">
        <f>SUMIF(모티브!$BF:$BF,'제품군별 SUMMARY'!$C9,모티브!AK:AK)</f>
        <v/>
      </c>
      <c r="S9">
        <f>SUMIF(모티브!$BF:$BF,'제품군별 SUMMARY'!$C9,모티브!AL:AL)/1000000</f>
        <v/>
      </c>
      <c r="T9">
        <f>SUMIF(모티브!$BF:$BF,'제품군별 SUMMARY'!$C9,모티브!AN:AN)</f>
        <v/>
      </c>
      <c r="U9">
        <f>SUMIF(모티브!$BF:$BF,'제품군별 SUMMARY'!$C9,모티브!AO:AO)/1000000</f>
        <v/>
      </c>
      <c r="V9">
        <f>SUMIF(모티브!$BF:$BF,'제품군별 SUMMARY'!$C9,모티브!AQ:AQ)</f>
        <v/>
      </c>
      <c r="W9">
        <f>SUMIF(모티브!$BF:$BF,'제품군별 SUMMARY'!$C9,모티브!AR:AR)/1000000</f>
        <v/>
      </c>
      <c r="X9">
        <f>SUMIF(모티브!$BF:$BF,'제품군별 SUMMARY'!$C9,모티브!AT:AT)</f>
        <v/>
      </c>
      <c r="Y9">
        <f>SUMIF(모티브!$BF:$BF,'제품군별 SUMMARY'!$C9,모티브!AU:AU)/1000000</f>
        <v/>
      </c>
      <c r="Z9">
        <f>SUMIF(모티브!$BF:$BF,'제품군별 SUMMARY'!$C9,모티브!AW:AW)</f>
        <v/>
      </c>
      <c r="AA9">
        <f>SUMIF(모티브!$BF:$BF,'제품군별 SUMMARY'!$C9,모티브!AX:AX)/1000000</f>
        <v/>
      </c>
    </row>
    <row r="10">
      <c r="C10" t="inlineStr">
        <is>
          <t>V-Type(Set)/보수</t>
        </is>
      </c>
      <c r="D10">
        <f>SUMIF(모티브!$BF:$BF,'제품군별 SUMMARY'!$C10,모티브!P:P)</f>
        <v/>
      </c>
      <c r="E10">
        <f>SUMIF(모티브!$BF:$BF,'제품군별 SUMMARY'!$C10,모티브!Q:Q)/1000000</f>
        <v/>
      </c>
      <c r="F10">
        <f>SUMIF(모티브!$BF:$BF,'제품군별 SUMMARY'!$C10,모티브!S:S)</f>
        <v/>
      </c>
      <c r="G10">
        <f>SUMIF(모티브!$BF:$BF,'제품군별 SUMMARY'!$C10,모티브!T:T)/1000000</f>
        <v/>
      </c>
      <c r="H10">
        <f>SUMIF(모티브!$BF:$BF,'제품군별 SUMMARY'!$C10,모티브!V:V)</f>
        <v/>
      </c>
      <c r="I10">
        <f>SUMIF(모티브!$BF:$BF,'제품군별 SUMMARY'!$C10,모티브!W:W)/1000000</f>
        <v/>
      </c>
      <c r="J10">
        <f>SUMIF(모티브!$BF:$BF,'제품군별 SUMMARY'!$C10,모티브!Y:Y)</f>
        <v/>
      </c>
      <c r="K10">
        <f>SUMIF(모티브!$BF:$BF,'제품군별 SUMMARY'!$C10,모티브!Z:Z)/1000000</f>
        <v/>
      </c>
      <c r="L10">
        <f>SUMIF(모티브!$BF:$BF,'제품군별 SUMMARY'!$C10,모티브!AB:AB)</f>
        <v/>
      </c>
      <c r="M10">
        <f>SUMIF(모티브!$BF:$BF,'제품군별 SUMMARY'!$C10,모티브!AC:AC)/1000000</f>
        <v/>
      </c>
      <c r="N10">
        <f>SUMIF(모티브!$BF:$BF,'제품군별 SUMMARY'!$C10,모티브!AE:AE)</f>
        <v/>
      </c>
      <c r="O10">
        <f>SUMIF(모티브!$BF:$BF,'제품군별 SUMMARY'!$C10,모티브!AF:AF)/1000000</f>
        <v/>
      </c>
      <c r="P10">
        <f>SUMIF(모티브!$BF:$BF,'제품군별 SUMMARY'!$C10,모티브!AH:AH)</f>
        <v/>
      </c>
      <c r="Q10">
        <f>SUMIF(모티브!$BF:$BF,'제품군별 SUMMARY'!$C10,모티브!AI:AI)/1000000</f>
        <v/>
      </c>
      <c r="R10">
        <f>SUMIF(모티브!$BF:$BF,'제품군별 SUMMARY'!$C10,모티브!AK:AK)</f>
        <v/>
      </c>
      <c r="S10">
        <f>SUMIF(모티브!$BF:$BF,'제품군별 SUMMARY'!$C10,모티브!AL:AL)/1000000</f>
        <v/>
      </c>
      <c r="T10">
        <f>SUMIF(모티브!$BF:$BF,'제품군별 SUMMARY'!$C10,모티브!AN:AN)</f>
        <v/>
      </c>
      <c r="U10">
        <f>SUMIF(모티브!$BF:$BF,'제품군별 SUMMARY'!$C10,모티브!AO:AO)/1000000</f>
        <v/>
      </c>
      <c r="V10">
        <f>SUMIF(모티브!$BF:$BF,'제품군별 SUMMARY'!$C10,모티브!AQ:AQ)</f>
        <v/>
      </c>
      <c r="W10">
        <f>SUMIF(모티브!$BF:$BF,'제품군별 SUMMARY'!$C10,모티브!AR:AR)/1000000</f>
        <v/>
      </c>
      <c r="X10">
        <f>SUMIF(모티브!$BF:$BF,'제품군별 SUMMARY'!$C10,모티브!AT:AT)</f>
        <v/>
      </c>
      <c r="Y10">
        <f>SUMIF(모티브!$BF:$BF,'제품군별 SUMMARY'!$C10,모티브!AU:AU)/1000000</f>
        <v/>
      </c>
      <c r="Z10">
        <f>SUMIF(모티브!$BF:$BF,'제품군별 SUMMARY'!$C10,모티브!AW:AW)</f>
        <v/>
      </c>
      <c r="AA10">
        <f>SUMIF(모티브!$BF:$BF,'제품군별 SUMMARY'!$C10,모티브!AX:AX)/1000000</f>
        <v/>
      </c>
    </row>
    <row r="11">
      <c r="C11" t="inlineStr">
        <is>
          <t>차량용 중형 EXP</t>
        </is>
      </c>
      <c r="D11">
        <f>SUMIF(모티브!$BF:$BF,'제품군별 SUMMARY'!$C11,모티브!P:P)</f>
        <v/>
      </c>
      <c r="E11">
        <f>SUMIF(모티브!$BF:$BF,'제품군별 SUMMARY'!$C11,모티브!Q:Q)/1000000</f>
        <v/>
      </c>
      <c r="F11">
        <f>SUMIF(모티브!$BF:$BF,'제품군별 SUMMARY'!$C11,모티브!S:S)</f>
        <v/>
      </c>
      <c r="G11">
        <f>SUMIF(모티브!$BF:$BF,'제품군별 SUMMARY'!$C11,모티브!T:T)/1000000</f>
        <v/>
      </c>
      <c r="H11">
        <f>SUMIF(모티브!$BF:$BF,'제품군별 SUMMARY'!$C11,모티브!V:V)</f>
        <v/>
      </c>
      <c r="I11">
        <f>SUMIF(모티브!$BF:$BF,'제품군별 SUMMARY'!$C11,모티브!W:W)/1000000</f>
        <v/>
      </c>
      <c r="J11">
        <f>SUMIF(모티브!$BF:$BF,'제품군별 SUMMARY'!$C11,모티브!Y:Y)</f>
        <v/>
      </c>
      <c r="K11">
        <f>SUMIF(모티브!$BF:$BF,'제품군별 SUMMARY'!$C11,모티브!Z:Z)/1000000</f>
        <v/>
      </c>
      <c r="L11">
        <f>SUMIF(모티브!$BF:$BF,'제품군별 SUMMARY'!$C11,모티브!AB:AB)</f>
        <v/>
      </c>
      <c r="M11">
        <f>SUMIF(모티브!$BF:$BF,'제품군별 SUMMARY'!$C11,모티브!AC:AC)/1000000</f>
        <v/>
      </c>
      <c r="N11">
        <f>SUMIF(모티브!$BF:$BF,'제품군별 SUMMARY'!$C11,모티브!AE:AE)</f>
        <v/>
      </c>
      <c r="O11">
        <f>SUMIF(모티브!$BF:$BF,'제품군별 SUMMARY'!$C11,모티브!AF:AF)/1000000</f>
        <v/>
      </c>
      <c r="P11">
        <f>SUMIF(모티브!$BF:$BF,'제품군별 SUMMARY'!$C11,모티브!AH:AH)</f>
        <v/>
      </c>
      <c r="Q11">
        <f>SUMIF(모티브!$BF:$BF,'제품군별 SUMMARY'!$C11,모티브!AI:AI)/1000000</f>
        <v/>
      </c>
      <c r="R11">
        <f>SUMIF(모티브!$BF:$BF,'제품군별 SUMMARY'!$C11,모티브!AK:AK)</f>
        <v/>
      </c>
      <c r="S11">
        <f>SUMIF(모티브!$BF:$BF,'제품군별 SUMMARY'!$C11,모티브!AL:AL)/1000000</f>
        <v/>
      </c>
      <c r="T11">
        <f>SUMIF(모티브!$BF:$BF,'제품군별 SUMMARY'!$C11,모티브!AN:AN)</f>
        <v/>
      </c>
      <c r="U11">
        <f>SUMIF(모티브!$BF:$BF,'제품군별 SUMMARY'!$C11,모티브!AO:AO)/1000000</f>
        <v/>
      </c>
      <c r="V11">
        <f>SUMIF(모티브!$BF:$BF,'제품군별 SUMMARY'!$C11,모티브!AQ:AQ)</f>
        <v/>
      </c>
      <c r="W11">
        <f>SUMIF(모티브!$BF:$BF,'제품군별 SUMMARY'!$C11,모티브!AR:AR)/1000000</f>
        <v/>
      </c>
      <c r="X11">
        <f>SUMIF(모티브!$BF:$BF,'제품군별 SUMMARY'!$C11,모티브!AT:AT)</f>
        <v/>
      </c>
      <c r="Y11">
        <f>SUMIF(모티브!$BF:$BF,'제품군별 SUMMARY'!$C11,모티브!AU:AU)/1000000</f>
        <v/>
      </c>
      <c r="Z11">
        <f>SUMIF(모티브!$BF:$BF,'제품군별 SUMMARY'!$C11,모티브!AW:AW)</f>
        <v/>
      </c>
      <c r="AA11">
        <f>SUMIF(모티브!$BF:$BF,'제품군별 SUMMARY'!$C11,모티브!AX:AX)/1000000</f>
        <v/>
      </c>
    </row>
    <row r="12">
      <c r="C12" t="inlineStr">
        <is>
          <t>Longest(EB)</t>
        </is>
      </c>
      <c r="D12">
        <f>SUMIF(모티브!$BF:$BF,'제품군별 SUMMARY'!$C12,모티브!P:P)</f>
        <v/>
      </c>
      <c r="E12">
        <f>SUMIF(모티브!$BF:$BF,'제품군별 SUMMARY'!$C12,모티브!Q:Q)/1000000</f>
        <v/>
      </c>
      <c r="F12">
        <f>SUMIF(모티브!$BF:$BF,'제품군별 SUMMARY'!$C12,모티브!S:S)</f>
        <v/>
      </c>
      <c r="G12">
        <f>SUMIF(모티브!$BF:$BF,'제품군별 SUMMARY'!$C12,모티브!T:T)/1000000</f>
        <v/>
      </c>
      <c r="H12">
        <f>SUMIF(모티브!$BF:$BF,'제품군별 SUMMARY'!$C12,모티브!V:V)</f>
        <v/>
      </c>
      <c r="I12">
        <f>SUMIF(모티브!$BF:$BF,'제품군별 SUMMARY'!$C12,모티브!W:W)/1000000</f>
        <v/>
      </c>
      <c r="J12">
        <f>SUMIF(모티브!$BF:$BF,'제품군별 SUMMARY'!$C12,모티브!Y:Y)</f>
        <v/>
      </c>
      <c r="K12">
        <f>SUMIF(모티브!$BF:$BF,'제품군별 SUMMARY'!$C12,모티브!Z:Z)/1000000</f>
        <v/>
      </c>
      <c r="L12">
        <f>SUMIF(모티브!$BF:$BF,'제품군별 SUMMARY'!$C12,모티브!AB:AB)</f>
        <v/>
      </c>
      <c r="M12">
        <f>SUMIF(모티브!$BF:$BF,'제품군별 SUMMARY'!$C12,모티브!AC:AC)/1000000</f>
        <v/>
      </c>
      <c r="N12">
        <f>SUMIF(모티브!$BF:$BF,'제품군별 SUMMARY'!$C12,모티브!AE:AE)</f>
        <v/>
      </c>
      <c r="O12">
        <f>SUMIF(모티브!$BF:$BF,'제품군별 SUMMARY'!$C12,모티브!AF:AF)/1000000</f>
        <v/>
      </c>
      <c r="P12">
        <f>SUMIF(모티브!$BF:$BF,'제품군별 SUMMARY'!$C12,모티브!AH:AH)</f>
        <v/>
      </c>
      <c r="Q12">
        <f>SUMIF(모티브!$BF:$BF,'제품군별 SUMMARY'!$C12,모티브!AI:AI)/1000000</f>
        <v/>
      </c>
      <c r="R12">
        <f>SUMIF(모티브!$BF:$BF,'제품군별 SUMMARY'!$C12,모티브!AK:AK)</f>
        <v/>
      </c>
      <c r="S12">
        <f>SUMIF(모티브!$BF:$BF,'제품군별 SUMMARY'!$C12,모티브!AL:AL)/1000000</f>
        <v/>
      </c>
      <c r="T12">
        <f>SUMIF(모티브!$BF:$BF,'제품군별 SUMMARY'!$C12,모티브!AN:AN)</f>
        <v/>
      </c>
      <c r="U12">
        <f>SUMIF(모티브!$BF:$BF,'제품군별 SUMMARY'!$C12,모티브!AO:AO)/1000000</f>
        <v/>
      </c>
      <c r="V12">
        <f>SUMIF(모티브!$BF:$BF,'제품군별 SUMMARY'!$C12,모티브!AQ:AQ)</f>
        <v/>
      </c>
      <c r="W12">
        <f>SUMIF(모티브!$BF:$BF,'제품군별 SUMMARY'!$C12,모티브!AR:AR)/1000000</f>
        <v/>
      </c>
      <c r="X12">
        <f>SUMIF(모티브!$BF:$BF,'제품군별 SUMMARY'!$C12,모티브!AT:AT)</f>
        <v/>
      </c>
      <c r="Y12">
        <f>SUMIF(모티브!$BF:$BF,'제품군별 SUMMARY'!$C12,모티브!AU:AU)/1000000</f>
        <v/>
      </c>
      <c r="Z12">
        <f>SUMIF(모티브!$BF:$BF,'제품군별 SUMMARY'!$C12,모티브!AW:AW)</f>
        <v/>
      </c>
      <c r="AA12">
        <f>SUMIF(모티브!$BF:$BF,'제품군별 SUMMARY'!$C12,모티브!AX:AX)/1000000</f>
        <v/>
      </c>
    </row>
    <row r="13">
      <c r="C13" t="inlineStr">
        <is>
          <t>Longest(GC6)</t>
        </is>
      </c>
      <c r="D13">
        <f>SUMIF(모티브!$BF:$BF,'제품군별 SUMMARY'!$C13,모티브!P:P)</f>
        <v/>
      </c>
      <c r="E13">
        <f>SUMIF(모티브!$BF:$BF,'제품군별 SUMMARY'!$C13,모티브!Q:Q)/1000000</f>
        <v/>
      </c>
      <c r="F13">
        <f>SUMIF(모티브!$BF:$BF,'제품군별 SUMMARY'!$C13,모티브!S:S)</f>
        <v/>
      </c>
      <c r="G13">
        <f>SUMIF(모티브!$BF:$BF,'제품군별 SUMMARY'!$C13,모티브!T:T)/1000000</f>
        <v/>
      </c>
      <c r="H13">
        <f>SUMIF(모티브!$BF:$BF,'제품군별 SUMMARY'!$C13,모티브!V:V)</f>
        <v/>
      </c>
      <c r="I13">
        <f>SUMIF(모티브!$BF:$BF,'제품군별 SUMMARY'!$C13,모티브!W:W)/1000000</f>
        <v/>
      </c>
      <c r="J13">
        <f>SUMIF(모티브!$BF:$BF,'제품군별 SUMMARY'!$C13,모티브!Y:Y)</f>
        <v/>
      </c>
      <c r="K13">
        <f>SUMIF(모티브!$BF:$BF,'제품군별 SUMMARY'!$C13,모티브!Z:Z)/1000000</f>
        <v/>
      </c>
      <c r="L13">
        <f>SUMIF(모티브!$BF:$BF,'제품군별 SUMMARY'!$C13,모티브!AB:AB)</f>
        <v/>
      </c>
      <c r="M13">
        <f>SUMIF(모티브!$BF:$BF,'제품군별 SUMMARY'!$C13,모티브!AC:AC)/1000000</f>
        <v/>
      </c>
      <c r="N13">
        <f>SUMIF(모티브!$BF:$BF,'제품군별 SUMMARY'!$C13,모티브!AE:AE)</f>
        <v/>
      </c>
      <c r="O13">
        <f>SUMIF(모티브!$BF:$BF,'제품군별 SUMMARY'!$C13,모티브!AF:AF)/1000000</f>
        <v/>
      </c>
      <c r="P13">
        <f>SUMIF(모티브!$BF:$BF,'제품군별 SUMMARY'!$C13,모티브!AH:AH)</f>
        <v/>
      </c>
      <c r="Q13">
        <f>SUMIF(모티브!$BF:$BF,'제품군별 SUMMARY'!$C13,모티브!AI:AI)/1000000</f>
        <v/>
      </c>
      <c r="R13">
        <f>SUMIF(모티브!$BF:$BF,'제품군별 SUMMARY'!$C13,모티브!AK:AK)</f>
        <v/>
      </c>
      <c r="S13">
        <f>SUMIF(모티브!$BF:$BF,'제품군별 SUMMARY'!$C13,모티브!AL:AL)/1000000</f>
        <v/>
      </c>
      <c r="T13">
        <f>SUMIF(모티브!$BF:$BF,'제품군별 SUMMARY'!$C13,모티브!AN:AN)</f>
        <v/>
      </c>
      <c r="U13">
        <f>SUMIF(모티브!$BF:$BF,'제품군별 SUMMARY'!$C13,모티브!AO:AO)/1000000</f>
        <v/>
      </c>
      <c r="V13">
        <f>SUMIF(모티브!$BF:$BF,'제품군별 SUMMARY'!$C13,모티브!AQ:AQ)</f>
        <v/>
      </c>
      <c r="W13">
        <f>SUMIF(모티브!$BF:$BF,'제품군별 SUMMARY'!$C13,모티브!AR:AR)/1000000</f>
        <v/>
      </c>
      <c r="X13">
        <f>SUMIF(모티브!$BF:$BF,'제품군별 SUMMARY'!$C13,모티브!AT:AT)</f>
        <v/>
      </c>
      <c r="Y13">
        <f>SUMIF(모티브!$BF:$BF,'제품군별 SUMMARY'!$C13,모티브!AU:AU)/1000000</f>
        <v/>
      </c>
      <c r="Z13">
        <f>SUMIF(모티브!$BF:$BF,'제품군별 SUMMARY'!$C13,모티브!AW:AW)</f>
        <v/>
      </c>
      <c r="AA13">
        <f>SUMIF(모티브!$BF:$BF,'제품군별 SUMMARY'!$C13,모티브!AX:AX)/1000000</f>
        <v/>
      </c>
    </row>
    <row r="14">
      <c r="C14" t="inlineStr">
        <is>
          <t>Longest(GC8)</t>
        </is>
      </c>
      <c r="D14">
        <f>SUMIF(모티브!$BF:$BF,'제품군별 SUMMARY'!$C14,모티브!P:P)</f>
        <v/>
      </c>
      <c r="E14">
        <f>SUMIF(모티브!$BF:$BF,'제품군별 SUMMARY'!$C14,모티브!Q:Q)/1000000</f>
        <v/>
      </c>
      <c r="F14">
        <f>SUMIF(모티브!$BF:$BF,'제품군별 SUMMARY'!$C14,모티브!S:S)</f>
        <v/>
      </c>
      <c r="G14">
        <f>SUMIF(모티브!$BF:$BF,'제품군별 SUMMARY'!$C14,모티브!T:T)/1000000</f>
        <v/>
      </c>
      <c r="H14">
        <f>SUMIF(모티브!$BF:$BF,'제품군별 SUMMARY'!$C14,모티브!V:V)</f>
        <v/>
      </c>
      <c r="I14">
        <f>SUMIF(모티브!$BF:$BF,'제품군별 SUMMARY'!$C14,모티브!W:W)/1000000</f>
        <v/>
      </c>
      <c r="J14">
        <f>SUMIF(모티브!$BF:$BF,'제품군별 SUMMARY'!$C14,모티브!Y:Y)</f>
        <v/>
      </c>
      <c r="K14">
        <f>SUMIF(모티브!$BF:$BF,'제품군별 SUMMARY'!$C14,모티브!Z:Z)/1000000</f>
        <v/>
      </c>
      <c r="L14">
        <f>SUMIF(모티브!$BF:$BF,'제품군별 SUMMARY'!$C14,모티브!AB:AB)</f>
        <v/>
      </c>
      <c r="M14">
        <f>SUMIF(모티브!$BF:$BF,'제품군별 SUMMARY'!$C14,모티브!AC:AC)/1000000</f>
        <v/>
      </c>
      <c r="N14">
        <f>SUMIF(모티브!$BF:$BF,'제품군별 SUMMARY'!$C14,모티브!AE:AE)</f>
        <v/>
      </c>
      <c r="O14">
        <f>SUMIF(모티브!$BF:$BF,'제품군별 SUMMARY'!$C14,모티브!AF:AF)/1000000</f>
        <v/>
      </c>
      <c r="P14">
        <f>SUMIF(모티브!$BF:$BF,'제품군별 SUMMARY'!$C14,모티브!AH:AH)</f>
        <v/>
      </c>
      <c r="Q14">
        <f>SUMIF(모티브!$BF:$BF,'제품군별 SUMMARY'!$C14,모티브!AI:AI)/1000000</f>
        <v/>
      </c>
      <c r="R14">
        <f>SUMIF(모티브!$BF:$BF,'제품군별 SUMMARY'!$C14,모티브!AK:AK)</f>
        <v/>
      </c>
      <c r="S14">
        <f>SUMIF(모티브!$BF:$BF,'제품군별 SUMMARY'!$C14,모티브!AL:AL)/1000000</f>
        <v/>
      </c>
      <c r="T14">
        <f>SUMIF(모티브!$BF:$BF,'제품군별 SUMMARY'!$C14,모티브!AN:AN)</f>
        <v/>
      </c>
      <c r="U14">
        <f>SUMIF(모티브!$BF:$BF,'제품군별 SUMMARY'!$C14,모티브!AO:AO)/1000000</f>
        <v/>
      </c>
      <c r="V14">
        <f>SUMIF(모티브!$BF:$BF,'제품군별 SUMMARY'!$C14,모티브!AQ:AQ)</f>
        <v/>
      </c>
      <c r="W14">
        <f>SUMIF(모티브!$BF:$BF,'제품군별 SUMMARY'!$C14,모티브!AR:AR)/1000000</f>
        <v/>
      </c>
      <c r="X14">
        <f>SUMIF(모티브!$BF:$BF,'제품군별 SUMMARY'!$C14,모티브!AT:AT)</f>
        <v/>
      </c>
      <c r="Y14">
        <f>SUMIF(모티브!$BF:$BF,'제품군별 SUMMARY'!$C14,모티브!AU:AU)/1000000</f>
        <v/>
      </c>
      <c r="Z14">
        <f>SUMIF(모티브!$BF:$BF,'제품군별 SUMMARY'!$C14,모티브!AW:AW)</f>
        <v/>
      </c>
      <c r="AA14">
        <f>SUMIF(모티브!$BF:$BF,'제품군별 SUMMARY'!$C14,모티브!AX:AX)/1000000</f>
        <v/>
      </c>
    </row>
    <row r="15">
      <c r="C15" t="inlineStr">
        <is>
          <t>차량용 소형 EXP</t>
        </is>
      </c>
      <c r="D15">
        <f>SUMIF(모티브!$BF:$BF,'제품군별 SUMMARY'!$C15,모티브!P:P)</f>
        <v/>
      </c>
      <c r="E15">
        <f>SUMIF(모티브!$BF:$BF,'제품군별 SUMMARY'!$C15,모티브!Q:Q)/1000000</f>
        <v/>
      </c>
      <c r="F15">
        <f>SUMIF(모티브!$BF:$BF,'제품군별 SUMMARY'!$C15,모티브!S:S)</f>
        <v/>
      </c>
      <c r="G15">
        <f>SUMIF(모티브!$BF:$BF,'제품군별 SUMMARY'!$C15,모티브!T:T)/1000000</f>
        <v/>
      </c>
      <c r="H15">
        <f>SUMIF(모티브!$BF:$BF,'제품군별 SUMMARY'!$C15,모티브!V:V)</f>
        <v/>
      </c>
      <c r="I15">
        <f>SUMIF(모티브!$BF:$BF,'제품군별 SUMMARY'!$C15,모티브!W:W)/1000000</f>
        <v/>
      </c>
      <c r="J15">
        <f>SUMIF(모티브!$BF:$BF,'제품군별 SUMMARY'!$C15,모티브!Y:Y)</f>
        <v/>
      </c>
      <c r="K15">
        <f>SUMIF(모티브!$BF:$BF,'제품군별 SUMMARY'!$C15,모티브!Z:Z)/1000000</f>
        <v/>
      </c>
      <c r="L15">
        <f>SUMIF(모티브!$BF:$BF,'제품군별 SUMMARY'!$C15,모티브!AB:AB)</f>
        <v/>
      </c>
      <c r="M15">
        <f>SUMIF(모티브!$BF:$BF,'제품군별 SUMMARY'!$C15,모티브!AC:AC)/1000000</f>
        <v/>
      </c>
      <c r="N15">
        <f>SUMIF(모티브!$BF:$BF,'제품군별 SUMMARY'!$C15,모티브!AE:AE)</f>
        <v/>
      </c>
      <c r="O15">
        <f>SUMIF(모티브!$BF:$BF,'제품군별 SUMMARY'!$C15,모티브!AF:AF)/1000000</f>
        <v/>
      </c>
      <c r="P15">
        <f>SUMIF(모티브!$BF:$BF,'제품군별 SUMMARY'!$C15,모티브!AH:AH)</f>
        <v/>
      </c>
      <c r="Q15">
        <f>SUMIF(모티브!$BF:$BF,'제품군별 SUMMARY'!$C15,모티브!AI:AI)/1000000</f>
        <v/>
      </c>
      <c r="R15">
        <f>SUMIF(모티브!$BF:$BF,'제품군별 SUMMARY'!$C15,모티브!AK:AK)</f>
        <v/>
      </c>
      <c r="S15">
        <f>SUMIF(모티브!$BF:$BF,'제품군별 SUMMARY'!$C15,모티브!AL:AL)/1000000</f>
        <v/>
      </c>
      <c r="T15">
        <f>SUMIF(모티브!$BF:$BF,'제품군별 SUMMARY'!$C15,모티브!AN:AN)</f>
        <v/>
      </c>
      <c r="U15">
        <f>SUMIF(모티브!$BF:$BF,'제품군별 SUMMARY'!$C15,모티브!AO:AO)/1000000</f>
        <v/>
      </c>
      <c r="V15">
        <f>SUMIF(모티브!$BF:$BF,'제품군별 SUMMARY'!$C15,모티브!AQ:AQ)</f>
        <v/>
      </c>
      <c r="W15">
        <f>SUMIF(모티브!$BF:$BF,'제품군별 SUMMARY'!$C15,모티브!AR:AR)/1000000</f>
        <v/>
      </c>
      <c r="X15">
        <f>SUMIF(모티브!$BF:$BF,'제품군별 SUMMARY'!$C15,모티브!AT:AT)</f>
        <v/>
      </c>
      <c r="Y15">
        <f>SUMIF(모티브!$BF:$BF,'제품군별 SUMMARY'!$C15,모티브!AU:AU)/1000000</f>
        <v/>
      </c>
      <c r="Z15">
        <f>SUMIF(모티브!$BF:$BF,'제품군별 SUMMARY'!$C15,모티브!AW:AW)</f>
        <v/>
      </c>
      <c r="AA15">
        <f>SUMIF(모티브!$BF:$BF,'제품군별 SUMMARY'!$C15,모티브!AX:AX)/1000000</f>
        <v/>
      </c>
    </row>
    <row r="16">
      <c r="C16" t="inlineStr">
        <is>
          <t>차량용 대형 EXP</t>
        </is>
      </c>
      <c r="D16">
        <f>SUMIF(모티브!$BF:$BF,'제품군별 SUMMARY'!$C16,모티브!P:P)</f>
        <v/>
      </c>
      <c r="E16">
        <f>SUMIF(모티브!$BF:$BF,'제품군별 SUMMARY'!$C16,모티브!Q:Q)/1000000</f>
        <v/>
      </c>
      <c r="F16">
        <f>SUMIF(모티브!$BF:$BF,'제품군별 SUMMARY'!$C16,모티브!S:S)</f>
        <v/>
      </c>
      <c r="G16">
        <f>SUMIF(모티브!$BF:$BF,'제품군별 SUMMARY'!$C16,모티브!T:T)/1000000</f>
        <v/>
      </c>
      <c r="H16">
        <f>SUMIF(모티브!$BF:$BF,'제품군별 SUMMARY'!$C16,모티브!V:V)</f>
        <v/>
      </c>
      <c r="I16">
        <f>SUMIF(모티브!$BF:$BF,'제품군별 SUMMARY'!$C16,모티브!W:W)/1000000</f>
        <v/>
      </c>
      <c r="J16">
        <f>SUMIF(모티브!$BF:$BF,'제품군별 SUMMARY'!$C16,모티브!Y:Y)</f>
        <v/>
      </c>
      <c r="K16">
        <f>SUMIF(모티브!$BF:$BF,'제품군별 SUMMARY'!$C16,모티브!Z:Z)/1000000</f>
        <v/>
      </c>
      <c r="L16">
        <f>SUMIF(모티브!$BF:$BF,'제품군별 SUMMARY'!$C16,모티브!AB:AB)</f>
        <v/>
      </c>
      <c r="M16">
        <f>SUMIF(모티브!$BF:$BF,'제품군별 SUMMARY'!$C16,모티브!AC:AC)/1000000</f>
        <v/>
      </c>
      <c r="N16">
        <f>SUMIF(모티브!$BF:$BF,'제품군별 SUMMARY'!$C16,모티브!AE:AE)</f>
        <v/>
      </c>
      <c r="O16">
        <f>SUMIF(모티브!$BF:$BF,'제품군별 SUMMARY'!$C16,모티브!AF:AF)/1000000</f>
        <v/>
      </c>
      <c r="P16">
        <f>SUMIF(모티브!$BF:$BF,'제품군별 SUMMARY'!$C16,모티브!AH:AH)</f>
        <v/>
      </c>
      <c r="Q16">
        <f>SUMIF(모티브!$BF:$BF,'제품군별 SUMMARY'!$C16,모티브!AI:AI)/1000000</f>
        <v/>
      </c>
      <c r="R16">
        <f>SUMIF(모티브!$BF:$BF,'제품군별 SUMMARY'!$C16,모티브!AK:AK)</f>
        <v/>
      </c>
      <c r="S16">
        <f>SUMIF(모티브!$BF:$BF,'제품군별 SUMMARY'!$C16,모티브!AL:AL)/1000000</f>
        <v/>
      </c>
      <c r="T16">
        <f>SUMIF(모티브!$BF:$BF,'제품군별 SUMMARY'!$C16,모티브!AN:AN)</f>
        <v/>
      </c>
      <c r="U16">
        <f>SUMIF(모티브!$BF:$BF,'제품군별 SUMMARY'!$C16,모티브!AO:AO)/1000000</f>
        <v/>
      </c>
      <c r="V16">
        <f>SUMIF(모티브!$BF:$BF,'제품군별 SUMMARY'!$C16,모티브!AQ:AQ)</f>
        <v/>
      </c>
      <c r="W16">
        <f>SUMIF(모티브!$BF:$BF,'제품군별 SUMMARY'!$C16,모티브!AR:AR)/1000000</f>
        <v/>
      </c>
      <c r="X16">
        <f>SUMIF(모티브!$BF:$BF,'제품군별 SUMMARY'!$C16,모티브!AT:AT)</f>
        <v/>
      </c>
      <c r="Y16">
        <f>SUMIF(모티브!$BF:$BF,'제품군별 SUMMARY'!$C16,모티브!AU:AU)/1000000</f>
        <v/>
      </c>
      <c r="Z16">
        <f>SUMIF(모티브!$BF:$BF,'제품군별 SUMMARY'!$C16,모티브!AW:AW)</f>
        <v/>
      </c>
      <c r="AA16">
        <f>SUMIF(모티브!$BF:$BF,'제품군별 SUMMARY'!$C16,모티브!AX:AX)/1000000</f>
        <v/>
      </c>
    </row>
    <row r="17">
      <c r="C17" t="inlineStr">
        <is>
          <t>V-Type(Set)/OEM</t>
        </is>
      </c>
      <c r="D17">
        <f>SUMIF(모티브!$BF:$BF,'제품군별 SUMMARY'!$C17,모티브!P:P)</f>
        <v/>
      </c>
      <c r="E17">
        <f>SUMIF(모티브!$BF:$BF,'제품군별 SUMMARY'!$C17,모티브!Q:Q)/1000000</f>
        <v/>
      </c>
      <c r="F17">
        <f>SUMIF(모티브!$BF:$BF,'제품군별 SUMMARY'!$C17,모티브!S:S)</f>
        <v/>
      </c>
      <c r="G17">
        <f>SUMIF(모티브!$BF:$BF,'제품군별 SUMMARY'!$C17,모티브!T:T)/1000000</f>
        <v/>
      </c>
      <c r="H17">
        <f>SUMIF(모티브!$BF:$BF,'제품군별 SUMMARY'!$C17,모티브!V:V)</f>
        <v/>
      </c>
      <c r="I17">
        <f>SUMIF(모티브!$BF:$BF,'제품군별 SUMMARY'!$C17,모티브!W:W)/1000000</f>
        <v/>
      </c>
      <c r="J17">
        <f>SUMIF(모티브!$BF:$BF,'제품군별 SUMMARY'!$C17,모티브!Y:Y)</f>
        <v/>
      </c>
      <c r="K17">
        <f>SUMIF(모티브!$BF:$BF,'제품군별 SUMMARY'!$C17,모티브!Z:Z)/1000000</f>
        <v/>
      </c>
      <c r="L17">
        <f>SUMIF(모티브!$BF:$BF,'제품군별 SUMMARY'!$C17,모티브!AB:AB)</f>
        <v/>
      </c>
      <c r="M17">
        <f>SUMIF(모티브!$BF:$BF,'제품군별 SUMMARY'!$C17,모티브!AC:AC)/1000000</f>
        <v/>
      </c>
      <c r="N17">
        <f>SUMIF(모티브!$BF:$BF,'제품군별 SUMMARY'!$C17,모티브!AE:AE)</f>
        <v/>
      </c>
      <c r="O17">
        <f>SUMIF(모티브!$BF:$BF,'제품군별 SUMMARY'!$C17,모티브!AF:AF)/1000000</f>
        <v/>
      </c>
      <c r="P17">
        <f>SUMIF(모티브!$BF:$BF,'제품군별 SUMMARY'!$C17,모티브!AH:AH)</f>
        <v/>
      </c>
      <c r="Q17">
        <f>SUMIF(모티브!$BF:$BF,'제품군별 SUMMARY'!$C17,모티브!AI:AI)/1000000</f>
        <v/>
      </c>
      <c r="R17">
        <f>SUMIF(모티브!$BF:$BF,'제품군별 SUMMARY'!$C17,모티브!AK:AK)</f>
        <v/>
      </c>
      <c r="S17">
        <f>SUMIF(모티브!$BF:$BF,'제품군별 SUMMARY'!$C17,모티브!AL:AL)/1000000</f>
        <v/>
      </c>
      <c r="T17">
        <f>SUMIF(모티브!$BF:$BF,'제품군별 SUMMARY'!$C17,모티브!AN:AN)</f>
        <v/>
      </c>
      <c r="U17">
        <f>SUMIF(모티브!$BF:$BF,'제품군별 SUMMARY'!$C17,모티브!AO:AO)/1000000</f>
        <v/>
      </c>
      <c r="V17">
        <f>SUMIF(모티브!$BF:$BF,'제품군별 SUMMARY'!$C17,모티브!AQ:AQ)</f>
        <v/>
      </c>
      <c r="W17">
        <f>SUMIF(모티브!$BF:$BF,'제품군별 SUMMARY'!$C17,모티브!AR:AR)/1000000</f>
        <v/>
      </c>
      <c r="X17">
        <f>SUMIF(모티브!$BF:$BF,'제품군별 SUMMARY'!$C17,모티브!AT:AT)</f>
        <v/>
      </c>
      <c r="Y17">
        <f>SUMIF(모티브!$BF:$BF,'제품군별 SUMMARY'!$C17,모티브!AU:AU)/1000000</f>
        <v/>
      </c>
      <c r="Z17">
        <f>SUMIF(모티브!$BF:$BF,'제품군별 SUMMARY'!$C17,모티브!AW:AW)</f>
        <v/>
      </c>
      <c r="AA17">
        <f>SUMIF(모티브!$BF:$BF,'제품군별 SUMMARY'!$C17,모티브!AX:AX)/1000000</f>
        <v/>
      </c>
    </row>
    <row r="18">
      <c r="B18" t="inlineStr">
        <is>
          <t>소계</t>
        </is>
      </c>
      <c r="D18">
        <f>SUM(D9:D17)</f>
        <v/>
      </c>
      <c r="E18">
        <f>SUM(E9:E17)</f>
        <v/>
      </c>
      <c r="F18">
        <f>SUM(F9:F17)</f>
        <v/>
      </c>
      <c r="G18">
        <f>SUM(G9:G17)</f>
        <v/>
      </c>
      <c r="H18">
        <f>SUM(H9:H17)</f>
        <v/>
      </c>
      <c r="I18">
        <f>SUM(I9:I17)</f>
        <v/>
      </c>
      <c r="J18">
        <f>SUM(J9:J17)</f>
        <v/>
      </c>
      <c r="K18">
        <f>SUM(K9:K17)</f>
        <v/>
      </c>
      <c r="L18">
        <f>SUM(L9:L17)</f>
        <v/>
      </c>
      <c r="M18">
        <f>SUM(M9:M17)</f>
        <v/>
      </c>
      <c r="N18">
        <f>SUM(N9:N17)</f>
        <v/>
      </c>
      <c r="O18">
        <f>SUM(O9:O17)</f>
        <v/>
      </c>
      <c r="P18">
        <f>SUM(P9:P17)</f>
        <v/>
      </c>
      <c r="Q18">
        <f>SUM(Q9:Q17)</f>
        <v/>
      </c>
      <c r="R18">
        <f>SUM(R9:R17)</f>
        <v/>
      </c>
      <c r="S18">
        <f>SUM(S9:S17)</f>
        <v/>
      </c>
      <c r="T18">
        <f>SUM(T9:T17)</f>
        <v/>
      </c>
      <c r="U18">
        <f>SUM(U9:U17)</f>
        <v/>
      </c>
      <c r="V18">
        <f>SUM(V9:V17)</f>
        <v/>
      </c>
      <c r="W18">
        <f>SUM(W9:W17)</f>
        <v/>
      </c>
      <c r="X18">
        <f>SUM(X9:X17)</f>
        <v/>
      </c>
      <c r="Y18">
        <f>SUM(Y9:Y17)</f>
        <v/>
      </c>
      <c r="Z18">
        <f>SUM(Z9:Z17)</f>
        <v/>
      </c>
      <c r="AA18">
        <f>SUM(AA9:AA17)</f>
        <v/>
      </c>
    </row>
    <row r="19">
      <c r="A19" t="inlineStr">
        <is>
          <t>산전
부문</t>
        </is>
      </c>
      <c r="B19" t="inlineStr">
        <is>
          <t>고정형</t>
        </is>
      </c>
      <c r="C19" t="inlineStr">
        <is>
          <t>CGS 소형</t>
        </is>
      </c>
      <c r="D19">
        <f>SUMIF(고정형!$BF:$BF,'제품군별 SUMMARY'!$C19,고정형!P:P)</f>
        <v/>
      </c>
      <c r="E19">
        <f>SUMIF(고정형!$BF:$BF,'제품군별 SUMMARY'!$C19,고정형!Q:Q)/1000000</f>
        <v/>
      </c>
      <c r="F19">
        <f>SUMIF(고정형!$BF:$BF,'제품군별 SUMMARY'!$C19,고정형!S:S)</f>
        <v/>
      </c>
      <c r="G19">
        <f>SUMIF(고정형!$BF:$BF,'제품군별 SUMMARY'!$C19,고정형!T:T)/1000000</f>
        <v/>
      </c>
      <c r="H19">
        <f>SUMIF(고정형!$BF:$BF,'제품군별 SUMMARY'!$C19,고정형!V:V)</f>
        <v/>
      </c>
      <c r="I19">
        <f>SUMIF(고정형!$BF:$BF,'제품군별 SUMMARY'!$C19,고정형!W:W)/1000000</f>
        <v/>
      </c>
      <c r="J19">
        <f>SUMIF(고정형!$BF:$BF,'제품군별 SUMMARY'!$C19,고정형!Y:Y)</f>
        <v/>
      </c>
      <c r="K19">
        <f>SUMIF(고정형!$BF:$BF,'제품군별 SUMMARY'!$C19,고정형!Z:Z)/1000000</f>
        <v/>
      </c>
      <c r="L19">
        <f>SUMIF(고정형!$BF:$BF,'제품군별 SUMMARY'!$C19,고정형!AB:AB)</f>
        <v/>
      </c>
      <c r="M19">
        <f>SUMIF(고정형!$BF:$BF,'제품군별 SUMMARY'!$C19,고정형!AC:AC)/1000000</f>
        <v/>
      </c>
      <c r="N19">
        <f>SUMIF(고정형!$BF:$BF,'제품군별 SUMMARY'!$C19,고정형!AE:AE)</f>
        <v/>
      </c>
      <c r="O19">
        <f>SUMIF(고정형!$BF:$BF,'제품군별 SUMMARY'!$C19,고정형!AF:AF)/1000000</f>
        <v/>
      </c>
      <c r="P19">
        <f>SUMIF(고정형!$BF:$BF,'제품군별 SUMMARY'!$C19,고정형!AH:AH)</f>
        <v/>
      </c>
      <c r="Q19">
        <f>SUMIF(고정형!$BF:$BF,'제품군별 SUMMARY'!$C19,고정형!AI:AI)/1000000</f>
        <v/>
      </c>
      <c r="R19">
        <f>SUMIF(고정형!$BF:$BF,'제품군별 SUMMARY'!$C19,고정형!AK:AK)</f>
        <v/>
      </c>
      <c r="S19">
        <f>SUMIF(고정형!$BF:$BF,'제품군별 SUMMARY'!$C19,고정형!AL:AL)/1000000</f>
        <v/>
      </c>
      <c r="T19">
        <f>SUMIF(고정형!$BF:$BF,'제품군별 SUMMARY'!$C19,고정형!AN:AN)</f>
        <v/>
      </c>
      <c r="U19">
        <f>SUMIF(고정형!$BF:$BF,'제품군별 SUMMARY'!$C19,고정형!AO:AO)/1000000</f>
        <v/>
      </c>
      <c r="V19">
        <f>SUMIF(고정형!$BF:$BF,'제품군별 SUMMARY'!$C19,고정형!AQ:AQ)</f>
        <v/>
      </c>
      <c r="W19">
        <f>SUMIF(고정형!$BF:$BF,'제품군별 SUMMARY'!$C19,고정형!AR:AR)/1000000</f>
        <v/>
      </c>
      <c r="X19">
        <f>SUMIF(고정형!$BF:$BF,'제품군별 SUMMARY'!$C19,고정형!AT:AT)</f>
        <v/>
      </c>
      <c r="Y19">
        <f>SUMIF(고정형!$BF:$BF,'제품군별 SUMMARY'!$C19,고정형!AU:AU)/1000000</f>
        <v/>
      </c>
      <c r="Z19">
        <f>SUMIF(고정형!$BF:$BF,'제품군별 SUMMARY'!$C19,고정형!AW:AW)</f>
        <v/>
      </c>
      <c r="AA19">
        <f>SUMIF(고정형!$BF:$BF,'제품군별 SUMMARY'!$C19,고정형!AX:AX)/1000000</f>
        <v/>
      </c>
    </row>
    <row r="20">
      <c r="C20" t="inlineStr">
        <is>
          <t>CGS 중형</t>
        </is>
      </c>
      <c r="D20">
        <f>SUMIF(고정형!$BF:$BF,'제품군별 SUMMARY'!$C20,고정형!P:P)</f>
        <v/>
      </c>
      <c r="E20">
        <f>SUMIF(고정형!$BF:$BF,'제품군별 SUMMARY'!$C20,고정형!Q:Q)/1000000</f>
        <v/>
      </c>
      <c r="F20">
        <f>SUMIF(고정형!$BF:$BF,'제품군별 SUMMARY'!$C20,고정형!S:S)</f>
        <v/>
      </c>
      <c r="G20">
        <f>SUMIF(고정형!$BF:$BF,'제품군별 SUMMARY'!$C20,고정형!T:T)/1000000</f>
        <v/>
      </c>
      <c r="H20">
        <f>SUMIF(고정형!$BF:$BF,'제품군별 SUMMARY'!$C20,고정형!V:V)</f>
        <v/>
      </c>
      <c r="I20">
        <f>SUMIF(고정형!$BF:$BF,'제품군별 SUMMARY'!$C20,고정형!W:W)/1000000</f>
        <v/>
      </c>
      <c r="J20">
        <f>SUMIF(고정형!$BF:$BF,'제품군별 SUMMARY'!$C20,고정형!Y:Y)</f>
        <v/>
      </c>
      <c r="K20">
        <f>SUMIF(고정형!$BF:$BF,'제품군별 SUMMARY'!$C20,고정형!Z:Z)/1000000</f>
        <v/>
      </c>
      <c r="L20">
        <f>SUMIF(고정형!$BF:$BF,'제품군별 SUMMARY'!$C20,고정형!AB:AB)</f>
        <v/>
      </c>
      <c r="M20">
        <f>SUMIF(고정형!$BF:$BF,'제품군별 SUMMARY'!$C20,고정형!AC:AC)/1000000</f>
        <v/>
      </c>
      <c r="N20">
        <f>SUMIF(고정형!$BF:$BF,'제품군별 SUMMARY'!$C20,고정형!AE:AE)</f>
        <v/>
      </c>
      <c r="O20">
        <f>SUMIF(고정형!$BF:$BF,'제품군별 SUMMARY'!$C20,고정형!AF:AF)/1000000</f>
        <v/>
      </c>
      <c r="P20">
        <f>SUMIF(고정형!$BF:$BF,'제품군별 SUMMARY'!$C20,고정형!AH:AH)</f>
        <v/>
      </c>
      <c r="Q20">
        <f>SUMIF(고정형!$BF:$BF,'제품군별 SUMMARY'!$C20,고정형!AI:AI)/1000000</f>
        <v/>
      </c>
      <c r="R20">
        <f>SUMIF(고정형!$BF:$BF,'제품군별 SUMMARY'!$C20,고정형!AK:AK)</f>
        <v/>
      </c>
      <c r="S20">
        <f>SUMIF(고정형!$BF:$BF,'제품군별 SUMMARY'!$C20,고정형!AL:AL)/1000000</f>
        <v/>
      </c>
      <c r="T20">
        <f>SUMIF(고정형!$BF:$BF,'제품군별 SUMMARY'!$C20,고정형!AN:AN)</f>
        <v/>
      </c>
      <c r="U20">
        <f>SUMIF(고정형!$BF:$BF,'제품군별 SUMMARY'!$C20,고정형!AO:AO)/1000000</f>
        <v/>
      </c>
      <c r="V20">
        <f>SUMIF(고정형!$BF:$BF,'제품군별 SUMMARY'!$C20,고정형!AQ:AQ)</f>
        <v/>
      </c>
      <c r="W20">
        <f>SUMIF(고정형!$BF:$BF,'제품군별 SUMMARY'!$C20,고정형!AR:AR)/1000000</f>
        <v/>
      </c>
      <c r="X20">
        <f>SUMIF(고정형!$BF:$BF,'제품군별 SUMMARY'!$C20,고정형!AT:AT)</f>
        <v/>
      </c>
      <c r="Y20">
        <f>SUMIF(고정형!$BF:$BF,'제품군별 SUMMARY'!$C20,고정형!AU:AU)/1000000</f>
        <v/>
      </c>
      <c r="Z20">
        <f>SUMIF(고정형!$BF:$BF,'제품군별 SUMMARY'!$C20,고정형!AW:AW)</f>
        <v/>
      </c>
      <c r="AA20">
        <f>SUMIF(고정형!$BF:$BF,'제품군별 SUMMARY'!$C20,고정형!AX:AX)/1000000</f>
        <v/>
      </c>
    </row>
    <row r="21">
      <c r="C21" t="inlineStr">
        <is>
          <t>ES 대형</t>
        </is>
      </c>
      <c r="D21">
        <f>SUMIF(고정형!$BF:$BF,'제품군별 SUMMARY'!$C21,고정형!P:P)</f>
        <v/>
      </c>
      <c r="E21">
        <f>SUMIF(고정형!$BF:$BF,'제품군별 SUMMARY'!$C21,고정형!Q:Q)/1000000</f>
        <v/>
      </c>
      <c r="F21">
        <f>SUMIF(고정형!$BF:$BF,'제품군별 SUMMARY'!$C21,고정형!S:S)</f>
        <v/>
      </c>
      <c r="G21">
        <f>SUMIF(고정형!$BF:$BF,'제품군별 SUMMARY'!$C21,고정형!T:T)/1000000</f>
        <v/>
      </c>
      <c r="H21">
        <f>SUMIF(고정형!$BF:$BF,'제품군별 SUMMARY'!$C21,고정형!V:V)</f>
        <v/>
      </c>
      <c r="I21">
        <f>SUMIF(고정형!$BF:$BF,'제품군별 SUMMARY'!$C21,고정형!W:W)/1000000</f>
        <v/>
      </c>
      <c r="J21">
        <f>SUMIF(고정형!$BF:$BF,'제품군별 SUMMARY'!$C21,고정형!Y:Y)</f>
        <v/>
      </c>
      <c r="K21">
        <f>SUMIF(고정형!$BF:$BF,'제품군별 SUMMARY'!$C21,고정형!Z:Z)/1000000</f>
        <v/>
      </c>
      <c r="L21">
        <f>SUMIF(고정형!$BF:$BF,'제품군별 SUMMARY'!$C21,고정형!AB:AB)</f>
        <v/>
      </c>
      <c r="M21">
        <f>SUMIF(고정형!$BF:$BF,'제품군별 SUMMARY'!$C21,고정형!AC:AC)/1000000</f>
        <v/>
      </c>
      <c r="N21">
        <f>SUMIF(고정형!$BF:$BF,'제품군별 SUMMARY'!$C21,고정형!AE:AE)</f>
        <v/>
      </c>
      <c r="O21">
        <f>SUMIF(고정형!$BF:$BF,'제품군별 SUMMARY'!$C21,고정형!AF:AF)/1000000</f>
        <v/>
      </c>
      <c r="P21">
        <f>SUMIF(고정형!$BF:$BF,'제품군별 SUMMARY'!$C21,고정형!AH:AH)</f>
        <v/>
      </c>
      <c r="Q21">
        <f>SUMIF(고정형!$BF:$BF,'제품군별 SUMMARY'!$C21,고정형!AI:AI)/1000000</f>
        <v/>
      </c>
      <c r="R21">
        <f>SUMIF(고정형!$BF:$BF,'제품군별 SUMMARY'!$C21,고정형!AK:AK)</f>
        <v/>
      </c>
      <c r="S21">
        <f>SUMIF(고정형!$BF:$BF,'제품군별 SUMMARY'!$C21,고정형!AL:AL)/1000000</f>
        <v/>
      </c>
      <c r="T21">
        <f>SUMIF(고정형!$BF:$BF,'제품군별 SUMMARY'!$C21,고정형!AN:AN)</f>
        <v/>
      </c>
      <c r="U21">
        <f>SUMIF(고정형!$BF:$BF,'제품군별 SUMMARY'!$C21,고정형!AO:AO)/1000000</f>
        <v/>
      </c>
      <c r="V21">
        <f>SUMIF(고정형!$BF:$BF,'제품군별 SUMMARY'!$C21,고정형!AQ:AQ)</f>
        <v/>
      </c>
      <c r="W21">
        <f>SUMIF(고정형!$BF:$BF,'제품군별 SUMMARY'!$C21,고정형!AR:AR)/1000000</f>
        <v/>
      </c>
      <c r="X21">
        <f>SUMIF(고정형!$BF:$BF,'제품군별 SUMMARY'!$C21,고정형!AT:AT)</f>
        <v/>
      </c>
      <c r="Y21">
        <f>SUMIF(고정형!$BF:$BF,'제품군별 SUMMARY'!$C21,고정형!AU:AU)/1000000</f>
        <v/>
      </c>
      <c r="Z21">
        <f>SUMIF(고정형!$BF:$BF,'제품군별 SUMMARY'!$C21,고정형!AW:AW)</f>
        <v/>
      </c>
      <c r="AA21">
        <f>SUMIF(고정형!$BF:$BF,'제품군별 SUMMARY'!$C21,고정형!AX:AX)/1000000</f>
        <v/>
      </c>
    </row>
    <row r="22">
      <c r="C22" t="inlineStr">
        <is>
          <t>ES 소형</t>
        </is>
      </c>
      <c r="D22">
        <f>SUMIF(고정형!$BF:$BF,'제품군별 SUMMARY'!$C22,고정형!P:P)</f>
        <v/>
      </c>
      <c r="E22">
        <f>SUMIF(고정형!$BF:$BF,'제품군별 SUMMARY'!$C22,고정형!Q:Q)/1000000</f>
        <v/>
      </c>
      <c r="F22">
        <f>SUMIF(고정형!$BF:$BF,'제품군별 SUMMARY'!$C22,고정형!S:S)</f>
        <v/>
      </c>
      <c r="G22">
        <f>SUMIF(고정형!$BF:$BF,'제품군별 SUMMARY'!$C22,고정형!T:T)/1000000</f>
        <v/>
      </c>
      <c r="H22">
        <f>SUMIF(고정형!$BF:$BF,'제품군별 SUMMARY'!$C22,고정형!V:V)</f>
        <v/>
      </c>
      <c r="I22">
        <f>SUMIF(고정형!$BF:$BF,'제품군별 SUMMARY'!$C22,고정형!W:W)/1000000</f>
        <v/>
      </c>
      <c r="J22">
        <f>SUMIF(고정형!$BF:$BF,'제품군별 SUMMARY'!$C22,고정형!Y:Y)</f>
        <v/>
      </c>
      <c r="K22">
        <f>SUMIF(고정형!$BF:$BF,'제품군별 SUMMARY'!$C22,고정형!Z:Z)/1000000</f>
        <v/>
      </c>
      <c r="L22">
        <f>SUMIF(고정형!$BF:$BF,'제품군별 SUMMARY'!$C22,고정형!AB:AB)</f>
        <v/>
      </c>
      <c r="M22">
        <f>SUMIF(고정형!$BF:$BF,'제품군별 SUMMARY'!$C22,고정형!AC:AC)/1000000</f>
        <v/>
      </c>
      <c r="N22">
        <f>SUMIF(고정형!$BF:$BF,'제품군별 SUMMARY'!$C22,고정형!AE:AE)</f>
        <v/>
      </c>
      <c r="O22">
        <f>SUMIF(고정형!$BF:$BF,'제품군별 SUMMARY'!$C22,고정형!AF:AF)/1000000</f>
        <v/>
      </c>
      <c r="P22">
        <f>SUMIF(고정형!$BF:$BF,'제품군별 SUMMARY'!$C22,고정형!AH:AH)</f>
        <v/>
      </c>
      <c r="Q22">
        <f>SUMIF(고정형!$BF:$BF,'제품군별 SUMMARY'!$C22,고정형!AI:AI)/1000000</f>
        <v/>
      </c>
      <c r="R22">
        <f>SUMIF(고정형!$BF:$BF,'제품군별 SUMMARY'!$C22,고정형!AK:AK)</f>
        <v/>
      </c>
      <c r="S22">
        <f>SUMIF(고정형!$BF:$BF,'제품군별 SUMMARY'!$C22,고정형!AL:AL)/1000000</f>
        <v/>
      </c>
      <c r="T22">
        <f>SUMIF(고정형!$BF:$BF,'제품군별 SUMMARY'!$C22,고정형!AN:AN)</f>
        <v/>
      </c>
      <c r="U22">
        <f>SUMIF(고정형!$BF:$BF,'제품군별 SUMMARY'!$C22,고정형!AO:AO)/1000000</f>
        <v/>
      </c>
      <c r="V22">
        <f>SUMIF(고정형!$BF:$BF,'제품군별 SUMMARY'!$C22,고정형!AQ:AQ)</f>
        <v/>
      </c>
      <c r="W22">
        <f>SUMIF(고정형!$BF:$BF,'제품군별 SUMMARY'!$C22,고정형!AR:AR)/1000000</f>
        <v/>
      </c>
      <c r="X22">
        <f>SUMIF(고정형!$BF:$BF,'제품군별 SUMMARY'!$C22,고정형!AT:AT)</f>
        <v/>
      </c>
      <c r="Y22">
        <f>SUMIF(고정형!$BF:$BF,'제품군별 SUMMARY'!$C22,고정형!AU:AU)/1000000</f>
        <v/>
      </c>
      <c r="Z22">
        <f>SUMIF(고정형!$BF:$BF,'제품군별 SUMMARY'!$C22,고정형!AW:AW)</f>
        <v/>
      </c>
      <c r="AA22">
        <f>SUMIF(고정형!$BF:$BF,'제품군별 SUMMARY'!$C22,고정형!AX:AX)/1000000</f>
        <v/>
      </c>
    </row>
    <row r="23">
      <c r="C23" t="inlineStr">
        <is>
          <t>ES 중형</t>
        </is>
      </c>
      <c r="D23">
        <f>SUMIF(고정형!$BF:$BF,'제품군별 SUMMARY'!$C23,고정형!P:P)</f>
        <v/>
      </c>
      <c r="E23">
        <f>SUMIF(고정형!$BF:$BF,'제품군별 SUMMARY'!$C23,고정형!Q:Q)/1000000</f>
        <v/>
      </c>
      <c r="F23">
        <f>SUMIF(고정형!$BF:$BF,'제품군별 SUMMARY'!$C23,고정형!S:S)</f>
        <v/>
      </c>
      <c r="G23">
        <f>SUMIF(고정형!$BF:$BF,'제품군별 SUMMARY'!$C23,고정형!T:T)/1000000</f>
        <v/>
      </c>
      <c r="H23">
        <f>SUMIF(고정형!$BF:$BF,'제품군별 SUMMARY'!$C23,고정형!V:V)</f>
        <v/>
      </c>
      <c r="I23">
        <f>SUMIF(고정형!$BF:$BF,'제품군별 SUMMARY'!$C23,고정형!W:W)/1000000</f>
        <v/>
      </c>
      <c r="J23">
        <f>SUMIF(고정형!$BF:$BF,'제품군별 SUMMARY'!$C23,고정형!Y:Y)</f>
        <v/>
      </c>
      <c r="K23">
        <f>SUMIF(고정형!$BF:$BF,'제품군별 SUMMARY'!$C23,고정형!Z:Z)/1000000</f>
        <v/>
      </c>
      <c r="L23">
        <f>SUMIF(고정형!$BF:$BF,'제품군별 SUMMARY'!$C23,고정형!AB:AB)</f>
        <v/>
      </c>
      <c r="M23">
        <f>SUMIF(고정형!$BF:$BF,'제품군별 SUMMARY'!$C23,고정형!AC:AC)/1000000</f>
        <v/>
      </c>
      <c r="N23">
        <f>SUMIF(고정형!$BF:$BF,'제품군별 SUMMARY'!$C23,고정형!AE:AE)</f>
        <v/>
      </c>
      <c r="O23">
        <f>SUMIF(고정형!$BF:$BF,'제품군별 SUMMARY'!$C23,고정형!AF:AF)/1000000</f>
        <v/>
      </c>
      <c r="P23">
        <f>SUMIF(고정형!$BF:$BF,'제품군별 SUMMARY'!$C23,고정형!AH:AH)</f>
        <v/>
      </c>
      <c r="Q23">
        <f>SUMIF(고정형!$BF:$BF,'제품군별 SUMMARY'!$C23,고정형!AI:AI)/1000000</f>
        <v/>
      </c>
      <c r="R23">
        <f>SUMIF(고정형!$BF:$BF,'제품군별 SUMMARY'!$C23,고정형!AK:AK)</f>
        <v/>
      </c>
      <c r="S23">
        <f>SUMIF(고정형!$BF:$BF,'제품군별 SUMMARY'!$C23,고정형!AL:AL)/1000000</f>
        <v/>
      </c>
      <c r="T23">
        <f>SUMIF(고정형!$BF:$BF,'제품군별 SUMMARY'!$C23,고정형!AN:AN)</f>
        <v/>
      </c>
      <c r="U23">
        <f>SUMIF(고정형!$BF:$BF,'제품군별 SUMMARY'!$C23,고정형!AO:AO)/1000000</f>
        <v/>
      </c>
      <c r="V23">
        <f>SUMIF(고정형!$BF:$BF,'제품군별 SUMMARY'!$C23,고정형!AQ:AQ)</f>
        <v/>
      </c>
      <c r="W23">
        <f>SUMIF(고정형!$BF:$BF,'제품군별 SUMMARY'!$C23,고정형!AR:AR)/1000000</f>
        <v/>
      </c>
      <c r="X23">
        <f>SUMIF(고정형!$BF:$BF,'제품군별 SUMMARY'!$C23,고정형!AT:AT)</f>
        <v/>
      </c>
      <c r="Y23">
        <f>SUMIF(고정형!$BF:$BF,'제품군별 SUMMARY'!$C23,고정형!AU:AU)/1000000</f>
        <v/>
      </c>
      <c r="Z23">
        <f>SUMIF(고정형!$BF:$BF,'제품군별 SUMMARY'!$C23,고정형!AW:AW)</f>
        <v/>
      </c>
      <c r="AA23">
        <f>SUMIF(고정형!$BF:$BF,'제품군별 SUMMARY'!$C23,고정형!AX:AX)/1000000</f>
        <v/>
      </c>
    </row>
    <row r="24">
      <c r="C24" t="inlineStr">
        <is>
          <t>GSL 대형</t>
        </is>
      </c>
      <c r="D24">
        <f>SUMIF(고정형!$BF:$BF,'제품군별 SUMMARY'!$C24,고정형!P:P)</f>
        <v/>
      </c>
      <c r="E24">
        <f>SUMIF(고정형!$BF:$BF,'제품군별 SUMMARY'!$C24,고정형!Q:Q)/1000000</f>
        <v/>
      </c>
      <c r="F24">
        <f>SUMIF(고정형!$BF:$BF,'제품군별 SUMMARY'!$C24,고정형!S:S)</f>
        <v/>
      </c>
      <c r="G24">
        <f>SUMIF(고정형!$BF:$BF,'제품군별 SUMMARY'!$C24,고정형!T:T)/1000000</f>
        <v/>
      </c>
      <c r="H24">
        <f>SUMIF(고정형!$BF:$BF,'제품군별 SUMMARY'!$C24,고정형!V:V)</f>
        <v/>
      </c>
      <c r="I24">
        <f>SUMIF(고정형!$BF:$BF,'제품군별 SUMMARY'!$C24,고정형!W:W)/1000000</f>
        <v/>
      </c>
      <c r="J24">
        <f>SUMIF(고정형!$BF:$BF,'제품군별 SUMMARY'!$C24,고정형!Y:Y)</f>
        <v/>
      </c>
      <c r="K24">
        <f>SUMIF(고정형!$BF:$BF,'제품군별 SUMMARY'!$C24,고정형!Z:Z)/1000000</f>
        <v/>
      </c>
      <c r="L24">
        <f>SUMIF(고정형!$BF:$BF,'제품군별 SUMMARY'!$C24,고정형!AB:AB)</f>
        <v/>
      </c>
      <c r="M24">
        <f>SUMIF(고정형!$BF:$BF,'제품군별 SUMMARY'!$C24,고정형!AC:AC)/1000000</f>
        <v/>
      </c>
      <c r="N24">
        <f>SUMIF(고정형!$BF:$BF,'제품군별 SUMMARY'!$C24,고정형!AE:AE)</f>
        <v/>
      </c>
      <c r="O24">
        <f>SUMIF(고정형!$BF:$BF,'제품군별 SUMMARY'!$C24,고정형!AF:AF)/1000000</f>
        <v/>
      </c>
      <c r="P24">
        <f>SUMIF(고정형!$BF:$BF,'제품군별 SUMMARY'!$C24,고정형!AH:AH)</f>
        <v/>
      </c>
      <c r="Q24">
        <f>SUMIF(고정형!$BF:$BF,'제품군별 SUMMARY'!$C24,고정형!AI:AI)/1000000</f>
        <v/>
      </c>
      <c r="R24">
        <f>SUMIF(고정형!$BF:$BF,'제품군별 SUMMARY'!$C24,고정형!AK:AK)</f>
        <v/>
      </c>
      <c r="S24">
        <f>SUMIF(고정형!$BF:$BF,'제품군별 SUMMARY'!$C24,고정형!AL:AL)/1000000</f>
        <v/>
      </c>
      <c r="T24">
        <f>SUMIF(고정형!$BF:$BF,'제품군별 SUMMARY'!$C24,고정형!AN:AN)</f>
        <v/>
      </c>
      <c r="U24">
        <f>SUMIF(고정형!$BF:$BF,'제품군별 SUMMARY'!$C24,고정형!AO:AO)/1000000</f>
        <v/>
      </c>
      <c r="V24">
        <f>SUMIF(고정형!$BF:$BF,'제품군별 SUMMARY'!$C24,고정형!AQ:AQ)</f>
        <v/>
      </c>
      <c r="W24">
        <f>SUMIF(고정형!$BF:$BF,'제품군별 SUMMARY'!$C24,고정형!AR:AR)/1000000</f>
        <v/>
      </c>
      <c r="X24">
        <f>SUMIF(고정형!$BF:$BF,'제품군별 SUMMARY'!$C24,고정형!AT:AT)</f>
        <v/>
      </c>
      <c r="Y24">
        <f>SUMIF(고정형!$BF:$BF,'제품군별 SUMMARY'!$C24,고정형!AU:AU)/1000000</f>
        <v/>
      </c>
      <c r="Z24">
        <f>SUMIF(고정형!$BF:$BF,'제품군별 SUMMARY'!$C24,고정형!AW:AW)</f>
        <v/>
      </c>
      <c r="AA24">
        <f>SUMIF(고정형!$BF:$BF,'제품군별 SUMMARY'!$C24,고정형!AX:AX)/1000000</f>
        <v/>
      </c>
    </row>
    <row r="25">
      <c r="C25" t="inlineStr">
        <is>
          <t>GSL 소형</t>
        </is>
      </c>
      <c r="D25">
        <f>SUMIF(고정형!$BF:$BF,'제품군별 SUMMARY'!$C25,고정형!P:P)</f>
        <v/>
      </c>
      <c r="E25">
        <f>SUMIF(고정형!$BF:$BF,'제품군별 SUMMARY'!$C25,고정형!Q:Q)/1000000</f>
        <v/>
      </c>
      <c r="F25">
        <f>SUMIF(고정형!$BF:$BF,'제품군별 SUMMARY'!$C25,고정형!S:S)</f>
        <v/>
      </c>
      <c r="G25">
        <f>SUMIF(고정형!$BF:$BF,'제품군별 SUMMARY'!$C25,고정형!T:T)/1000000</f>
        <v/>
      </c>
      <c r="H25">
        <f>SUMIF(고정형!$BF:$BF,'제품군별 SUMMARY'!$C25,고정형!V:V)</f>
        <v/>
      </c>
      <c r="I25">
        <f>SUMIF(고정형!$BF:$BF,'제품군별 SUMMARY'!$C25,고정형!W:W)/1000000</f>
        <v/>
      </c>
      <c r="J25">
        <f>SUMIF(고정형!$BF:$BF,'제품군별 SUMMARY'!$C25,고정형!Y:Y)</f>
        <v/>
      </c>
      <c r="K25">
        <f>SUMIF(고정형!$BF:$BF,'제품군별 SUMMARY'!$C25,고정형!Z:Z)/1000000</f>
        <v/>
      </c>
      <c r="L25">
        <f>SUMIF(고정형!$BF:$BF,'제품군별 SUMMARY'!$C25,고정형!AB:AB)</f>
        <v/>
      </c>
      <c r="M25">
        <f>SUMIF(고정형!$BF:$BF,'제품군별 SUMMARY'!$C25,고정형!AC:AC)/1000000</f>
        <v/>
      </c>
      <c r="N25">
        <f>SUMIF(고정형!$BF:$BF,'제품군별 SUMMARY'!$C25,고정형!AE:AE)</f>
        <v/>
      </c>
      <c r="O25">
        <f>SUMIF(고정형!$BF:$BF,'제품군별 SUMMARY'!$C25,고정형!AF:AF)/1000000</f>
        <v/>
      </c>
      <c r="P25">
        <f>SUMIF(고정형!$BF:$BF,'제품군별 SUMMARY'!$C25,고정형!AH:AH)</f>
        <v/>
      </c>
      <c r="Q25">
        <f>SUMIF(고정형!$BF:$BF,'제품군별 SUMMARY'!$C25,고정형!AI:AI)/1000000</f>
        <v/>
      </c>
      <c r="R25">
        <f>SUMIF(고정형!$BF:$BF,'제품군별 SUMMARY'!$C25,고정형!AK:AK)</f>
        <v/>
      </c>
      <c r="S25">
        <f>SUMIF(고정형!$BF:$BF,'제품군별 SUMMARY'!$C25,고정형!AL:AL)/1000000</f>
        <v/>
      </c>
      <c r="T25">
        <f>SUMIF(고정형!$BF:$BF,'제품군별 SUMMARY'!$C25,고정형!AN:AN)</f>
        <v/>
      </c>
      <c r="U25">
        <f>SUMIF(고정형!$BF:$BF,'제품군별 SUMMARY'!$C25,고정형!AO:AO)/1000000</f>
        <v/>
      </c>
      <c r="V25">
        <f>SUMIF(고정형!$BF:$BF,'제품군별 SUMMARY'!$C25,고정형!AQ:AQ)</f>
        <v/>
      </c>
      <c r="W25">
        <f>SUMIF(고정형!$BF:$BF,'제품군별 SUMMARY'!$C25,고정형!AR:AR)/1000000</f>
        <v/>
      </c>
      <c r="X25">
        <f>SUMIF(고정형!$BF:$BF,'제품군별 SUMMARY'!$C25,고정형!AT:AT)</f>
        <v/>
      </c>
      <c r="Y25">
        <f>SUMIF(고정형!$BF:$BF,'제품군별 SUMMARY'!$C25,고정형!AU:AU)/1000000</f>
        <v/>
      </c>
      <c r="Z25">
        <f>SUMIF(고정형!$BF:$BF,'제품군별 SUMMARY'!$C25,고정형!AW:AW)</f>
        <v/>
      </c>
      <c r="AA25">
        <f>SUMIF(고정형!$BF:$BF,'제품군별 SUMMARY'!$C25,고정형!AX:AX)/1000000</f>
        <v/>
      </c>
    </row>
    <row r="26">
      <c r="C26" t="inlineStr">
        <is>
          <t>GSL 중형</t>
        </is>
      </c>
      <c r="D26">
        <f>SUMIF(고정형!$BF:$BF,'제품군별 SUMMARY'!$C26,고정형!P:P)</f>
        <v/>
      </c>
      <c r="E26">
        <f>SUMIF(고정형!$BF:$BF,'제품군별 SUMMARY'!$C26,고정형!Q:Q)/1000000</f>
        <v/>
      </c>
      <c r="F26">
        <f>SUMIF(고정형!$BF:$BF,'제품군별 SUMMARY'!$C26,고정형!S:S)</f>
        <v/>
      </c>
      <c r="G26">
        <f>SUMIF(고정형!$BF:$BF,'제품군별 SUMMARY'!$C26,고정형!T:T)/1000000</f>
        <v/>
      </c>
      <c r="H26">
        <f>SUMIF(고정형!$BF:$BF,'제품군별 SUMMARY'!$C26,고정형!V:V)</f>
        <v/>
      </c>
      <c r="I26">
        <f>SUMIF(고정형!$BF:$BF,'제품군별 SUMMARY'!$C26,고정형!W:W)/1000000</f>
        <v/>
      </c>
      <c r="J26">
        <f>SUMIF(고정형!$BF:$BF,'제품군별 SUMMARY'!$C26,고정형!Y:Y)</f>
        <v/>
      </c>
      <c r="K26">
        <f>SUMIF(고정형!$BF:$BF,'제품군별 SUMMARY'!$C26,고정형!Z:Z)/1000000</f>
        <v/>
      </c>
      <c r="L26">
        <f>SUMIF(고정형!$BF:$BF,'제품군별 SUMMARY'!$C26,고정형!AB:AB)</f>
        <v/>
      </c>
      <c r="M26">
        <f>SUMIF(고정형!$BF:$BF,'제품군별 SUMMARY'!$C26,고정형!AC:AC)/1000000</f>
        <v/>
      </c>
      <c r="N26">
        <f>SUMIF(고정형!$BF:$BF,'제품군별 SUMMARY'!$C26,고정형!AE:AE)</f>
        <v/>
      </c>
      <c r="O26">
        <f>SUMIF(고정형!$BF:$BF,'제품군별 SUMMARY'!$C26,고정형!AF:AF)/1000000</f>
        <v/>
      </c>
      <c r="P26">
        <f>SUMIF(고정형!$BF:$BF,'제품군별 SUMMARY'!$C26,고정형!AH:AH)</f>
        <v/>
      </c>
      <c r="Q26">
        <f>SUMIF(고정형!$BF:$BF,'제품군별 SUMMARY'!$C26,고정형!AI:AI)/1000000</f>
        <v/>
      </c>
      <c r="R26">
        <f>SUMIF(고정형!$BF:$BF,'제품군별 SUMMARY'!$C26,고정형!AK:AK)</f>
        <v/>
      </c>
      <c r="S26">
        <f>SUMIF(고정형!$BF:$BF,'제품군별 SUMMARY'!$C26,고정형!AL:AL)/1000000</f>
        <v/>
      </c>
      <c r="T26">
        <f>SUMIF(고정형!$BF:$BF,'제품군별 SUMMARY'!$C26,고정형!AN:AN)</f>
        <v/>
      </c>
      <c r="U26">
        <f>SUMIF(고정형!$BF:$BF,'제품군별 SUMMARY'!$C26,고정형!AO:AO)/1000000</f>
        <v/>
      </c>
      <c r="V26">
        <f>SUMIF(고정형!$BF:$BF,'제품군별 SUMMARY'!$C26,고정형!AQ:AQ)</f>
        <v/>
      </c>
      <c r="W26">
        <f>SUMIF(고정형!$BF:$BF,'제품군별 SUMMARY'!$C26,고정형!AR:AR)/1000000</f>
        <v/>
      </c>
      <c r="X26">
        <f>SUMIF(고정형!$BF:$BF,'제품군별 SUMMARY'!$C26,고정형!AT:AT)</f>
        <v/>
      </c>
      <c r="Y26">
        <f>SUMIF(고정형!$BF:$BF,'제품군별 SUMMARY'!$C26,고정형!AU:AU)/1000000</f>
        <v/>
      </c>
      <c r="Z26">
        <f>SUMIF(고정형!$BF:$BF,'제품군별 SUMMARY'!$C26,고정형!AW:AW)</f>
        <v/>
      </c>
      <c r="AA26">
        <f>SUMIF(고정형!$BF:$BF,'제품군별 SUMMARY'!$C26,고정형!AX:AX)/1000000</f>
        <v/>
      </c>
    </row>
    <row r="27">
      <c r="C27" t="inlineStr">
        <is>
          <t>LM</t>
        </is>
      </c>
      <c r="D27">
        <f>SUMIF(고정형!$BF:$BF,'제품군별 SUMMARY'!$C27,고정형!P:P)</f>
        <v/>
      </c>
      <c r="E27">
        <f>SUMIF(고정형!$BF:$BF,'제품군별 SUMMARY'!$C27,고정형!Q:Q)/1000000</f>
        <v/>
      </c>
      <c r="F27">
        <f>SUMIF(고정형!$BF:$BF,'제품군별 SUMMARY'!$C27,고정형!S:S)</f>
        <v/>
      </c>
      <c r="G27">
        <f>SUMIF(고정형!$BF:$BF,'제품군별 SUMMARY'!$C27,고정형!T:T)/1000000</f>
        <v/>
      </c>
      <c r="H27">
        <f>SUMIF(고정형!$BF:$BF,'제품군별 SUMMARY'!$C27,고정형!V:V)</f>
        <v/>
      </c>
      <c r="I27">
        <f>SUMIF(고정형!$BF:$BF,'제품군별 SUMMARY'!$C27,고정형!W:W)/1000000</f>
        <v/>
      </c>
      <c r="J27">
        <f>SUMIF(고정형!$BF:$BF,'제품군별 SUMMARY'!$C27,고정형!Y:Y)</f>
        <v/>
      </c>
      <c r="K27">
        <f>SUMIF(고정형!$BF:$BF,'제품군별 SUMMARY'!$C27,고정형!Z:Z)/1000000</f>
        <v/>
      </c>
      <c r="L27">
        <f>SUMIF(고정형!$BF:$BF,'제품군별 SUMMARY'!$C27,고정형!AB:AB)</f>
        <v/>
      </c>
      <c r="M27">
        <f>SUMIF(고정형!$BF:$BF,'제품군별 SUMMARY'!$C27,고정형!AC:AC)/1000000</f>
        <v/>
      </c>
      <c r="N27">
        <f>SUMIF(고정형!$BF:$BF,'제품군별 SUMMARY'!$C27,고정형!AE:AE)</f>
        <v/>
      </c>
      <c r="O27">
        <f>SUMIF(고정형!$BF:$BF,'제품군별 SUMMARY'!$C27,고정형!AF:AF)/1000000</f>
        <v/>
      </c>
      <c r="P27">
        <f>SUMIF(고정형!$BF:$BF,'제품군별 SUMMARY'!$C27,고정형!AH:AH)</f>
        <v/>
      </c>
      <c r="Q27">
        <f>SUMIF(고정형!$BF:$BF,'제품군별 SUMMARY'!$C27,고정형!AI:AI)/1000000</f>
        <v/>
      </c>
      <c r="R27">
        <f>SUMIF(고정형!$BF:$BF,'제품군별 SUMMARY'!$C27,고정형!AK:AK)</f>
        <v/>
      </c>
      <c r="S27">
        <f>SUMIF(고정형!$BF:$BF,'제품군별 SUMMARY'!$C27,고정형!AL:AL)/1000000</f>
        <v/>
      </c>
      <c r="T27">
        <f>SUMIF(고정형!$BF:$BF,'제품군별 SUMMARY'!$C27,고정형!AN:AN)</f>
        <v/>
      </c>
      <c r="U27">
        <f>SUMIF(고정형!$BF:$BF,'제품군별 SUMMARY'!$C27,고정형!AO:AO)/1000000</f>
        <v/>
      </c>
      <c r="V27">
        <f>SUMIF(고정형!$BF:$BF,'제품군별 SUMMARY'!$C27,고정형!AQ:AQ)</f>
        <v/>
      </c>
      <c r="W27">
        <f>SUMIF(고정형!$BF:$BF,'제품군별 SUMMARY'!$C27,고정형!AR:AR)/1000000</f>
        <v/>
      </c>
      <c r="X27">
        <f>SUMIF(고정형!$BF:$BF,'제품군별 SUMMARY'!$C27,고정형!AT:AT)</f>
        <v/>
      </c>
      <c r="Y27">
        <f>SUMIF(고정형!$BF:$BF,'제품군별 SUMMARY'!$C27,고정형!AU:AU)/1000000</f>
        <v/>
      </c>
      <c r="Z27">
        <f>SUMIF(고정형!$BF:$BF,'제품군별 SUMMARY'!$C27,고정형!AW:AW)</f>
        <v/>
      </c>
      <c r="AA27">
        <f>SUMIF(고정형!$BF:$BF,'제품군별 SUMMARY'!$C27,고정형!AX:AX)/1000000</f>
        <v/>
      </c>
    </row>
    <row r="28">
      <c r="C28" t="inlineStr">
        <is>
          <t>MSB 대형</t>
        </is>
      </c>
      <c r="D28">
        <f>SUMIF(고정형!$BF:$BF,'제품군별 SUMMARY'!$C28,고정형!P:P)</f>
        <v/>
      </c>
      <c r="E28">
        <f>SUMIF(고정형!$BF:$BF,'제품군별 SUMMARY'!$C28,고정형!Q:Q)/1000000</f>
        <v/>
      </c>
      <c r="F28">
        <f>SUMIF(고정형!$BF:$BF,'제품군별 SUMMARY'!$C28,고정형!S:S)</f>
        <v/>
      </c>
      <c r="G28">
        <f>SUMIF(고정형!$BF:$BF,'제품군별 SUMMARY'!$C28,고정형!T:T)/1000000</f>
        <v/>
      </c>
      <c r="H28">
        <f>SUMIF(고정형!$BF:$BF,'제품군별 SUMMARY'!$C28,고정형!V:V)</f>
        <v/>
      </c>
      <c r="I28">
        <f>SUMIF(고정형!$BF:$BF,'제품군별 SUMMARY'!$C28,고정형!W:W)/1000000</f>
        <v/>
      </c>
      <c r="J28">
        <f>SUMIF(고정형!$BF:$BF,'제품군별 SUMMARY'!$C28,고정형!Y:Y)</f>
        <v/>
      </c>
      <c r="K28">
        <f>SUMIF(고정형!$BF:$BF,'제품군별 SUMMARY'!$C28,고정형!Z:Z)/1000000</f>
        <v/>
      </c>
      <c r="L28">
        <f>SUMIF(고정형!$BF:$BF,'제품군별 SUMMARY'!$C28,고정형!AB:AB)</f>
        <v/>
      </c>
      <c r="M28">
        <f>SUMIF(고정형!$BF:$BF,'제품군별 SUMMARY'!$C28,고정형!AC:AC)/1000000</f>
        <v/>
      </c>
      <c r="N28">
        <f>SUMIF(고정형!$BF:$BF,'제품군별 SUMMARY'!$C28,고정형!AE:AE)</f>
        <v/>
      </c>
      <c r="O28">
        <f>SUMIF(고정형!$BF:$BF,'제품군별 SUMMARY'!$C28,고정형!AF:AF)/1000000</f>
        <v/>
      </c>
      <c r="P28">
        <f>SUMIF(고정형!$BF:$BF,'제품군별 SUMMARY'!$C28,고정형!AH:AH)</f>
        <v/>
      </c>
      <c r="Q28">
        <f>SUMIF(고정형!$BF:$BF,'제품군별 SUMMARY'!$C28,고정형!AI:AI)/1000000</f>
        <v/>
      </c>
      <c r="R28">
        <f>SUMIF(고정형!$BF:$BF,'제품군별 SUMMARY'!$C28,고정형!AK:AK)</f>
        <v/>
      </c>
      <c r="S28">
        <f>SUMIF(고정형!$BF:$BF,'제품군별 SUMMARY'!$C28,고정형!AL:AL)/1000000</f>
        <v/>
      </c>
      <c r="T28">
        <f>SUMIF(고정형!$BF:$BF,'제품군별 SUMMARY'!$C28,고정형!AN:AN)</f>
        <v/>
      </c>
      <c r="U28">
        <f>SUMIF(고정형!$BF:$BF,'제품군별 SUMMARY'!$C28,고정형!AO:AO)/1000000</f>
        <v/>
      </c>
      <c r="V28">
        <f>SUMIF(고정형!$BF:$BF,'제품군별 SUMMARY'!$C28,고정형!AQ:AQ)</f>
        <v/>
      </c>
      <c r="W28">
        <f>SUMIF(고정형!$BF:$BF,'제품군별 SUMMARY'!$C28,고정형!AR:AR)/1000000</f>
        <v/>
      </c>
      <c r="X28">
        <f>SUMIF(고정형!$BF:$BF,'제품군별 SUMMARY'!$C28,고정형!AT:AT)</f>
        <v/>
      </c>
      <c r="Y28">
        <f>SUMIF(고정형!$BF:$BF,'제품군별 SUMMARY'!$C28,고정형!AU:AU)/1000000</f>
        <v/>
      </c>
      <c r="Z28">
        <f>SUMIF(고정형!$BF:$BF,'제품군별 SUMMARY'!$C28,고정형!AW:AW)</f>
        <v/>
      </c>
      <c r="AA28">
        <f>SUMIF(고정형!$BF:$BF,'제품군별 SUMMARY'!$C28,고정형!AX:AX)/1000000</f>
        <v/>
      </c>
    </row>
    <row r="29">
      <c r="C29" t="inlineStr">
        <is>
          <t>MSB 소형</t>
        </is>
      </c>
      <c r="D29">
        <f>SUMIF(고정형!$BF:$BF,'제품군별 SUMMARY'!$C29,고정형!P:P)</f>
        <v/>
      </c>
      <c r="E29">
        <f>SUMIF(고정형!$BF:$BF,'제품군별 SUMMARY'!$C29,고정형!Q:Q)/1000000</f>
        <v/>
      </c>
      <c r="F29">
        <f>SUMIF(고정형!$BF:$BF,'제품군별 SUMMARY'!$C29,고정형!S:S)</f>
        <v/>
      </c>
      <c r="G29">
        <f>SUMIF(고정형!$BF:$BF,'제품군별 SUMMARY'!$C29,고정형!T:T)/1000000</f>
        <v/>
      </c>
      <c r="H29">
        <f>SUMIF(고정형!$BF:$BF,'제품군별 SUMMARY'!$C29,고정형!V:V)</f>
        <v/>
      </c>
      <c r="I29">
        <f>SUMIF(고정형!$BF:$BF,'제품군별 SUMMARY'!$C29,고정형!W:W)/1000000</f>
        <v/>
      </c>
      <c r="J29">
        <f>SUMIF(고정형!$BF:$BF,'제품군별 SUMMARY'!$C29,고정형!Y:Y)</f>
        <v/>
      </c>
      <c r="K29">
        <f>SUMIF(고정형!$BF:$BF,'제품군별 SUMMARY'!$C29,고정형!Z:Z)/1000000</f>
        <v/>
      </c>
      <c r="L29">
        <f>SUMIF(고정형!$BF:$BF,'제품군별 SUMMARY'!$C29,고정형!AB:AB)</f>
        <v/>
      </c>
      <c r="M29">
        <f>SUMIF(고정형!$BF:$BF,'제품군별 SUMMARY'!$C29,고정형!AC:AC)/1000000</f>
        <v/>
      </c>
      <c r="N29">
        <f>SUMIF(고정형!$BF:$BF,'제품군별 SUMMARY'!$C29,고정형!AE:AE)</f>
        <v/>
      </c>
      <c r="O29">
        <f>SUMIF(고정형!$BF:$BF,'제품군별 SUMMARY'!$C29,고정형!AF:AF)/1000000</f>
        <v/>
      </c>
      <c r="P29">
        <f>SUMIF(고정형!$BF:$BF,'제품군별 SUMMARY'!$C29,고정형!AH:AH)</f>
        <v/>
      </c>
      <c r="Q29">
        <f>SUMIF(고정형!$BF:$BF,'제품군별 SUMMARY'!$C29,고정형!AI:AI)/1000000</f>
        <v/>
      </c>
      <c r="R29">
        <f>SUMIF(고정형!$BF:$BF,'제품군별 SUMMARY'!$C29,고정형!AK:AK)</f>
        <v/>
      </c>
      <c r="S29">
        <f>SUMIF(고정형!$BF:$BF,'제품군별 SUMMARY'!$C29,고정형!AL:AL)/1000000</f>
        <v/>
      </c>
      <c r="T29">
        <f>SUMIF(고정형!$BF:$BF,'제품군별 SUMMARY'!$C29,고정형!AN:AN)</f>
        <v/>
      </c>
      <c r="U29">
        <f>SUMIF(고정형!$BF:$BF,'제품군별 SUMMARY'!$C29,고정형!AO:AO)/1000000</f>
        <v/>
      </c>
      <c r="V29">
        <f>SUMIF(고정형!$BF:$BF,'제품군별 SUMMARY'!$C29,고정형!AQ:AQ)</f>
        <v/>
      </c>
      <c r="W29">
        <f>SUMIF(고정형!$BF:$BF,'제품군별 SUMMARY'!$C29,고정형!AR:AR)/1000000</f>
        <v/>
      </c>
      <c r="X29">
        <f>SUMIF(고정형!$BF:$BF,'제품군별 SUMMARY'!$C29,고정형!AT:AT)</f>
        <v/>
      </c>
      <c r="Y29">
        <f>SUMIF(고정형!$BF:$BF,'제품군별 SUMMARY'!$C29,고정형!AU:AU)/1000000</f>
        <v/>
      </c>
      <c r="Z29">
        <f>SUMIF(고정형!$BF:$BF,'제품군별 SUMMARY'!$C29,고정형!AW:AW)</f>
        <v/>
      </c>
      <c r="AA29">
        <f>SUMIF(고정형!$BF:$BF,'제품군별 SUMMARY'!$C29,고정형!AX:AX)/1000000</f>
        <v/>
      </c>
    </row>
    <row r="30">
      <c r="C30" t="inlineStr">
        <is>
          <t>MSB 중형</t>
        </is>
      </c>
      <c r="D30">
        <f>SUMIF(고정형!$BF:$BF,'제품군별 SUMMARY'!$C30,고정형!P:P)</f>
        <v/>
      </c>
      <c r="E30">
        <f>SUMIF(고정형!$BF:$BF,'제품군별 SUMMARY'!$C30,고정형!Q:Q)/1000000</f>
        <v/>
      </c>
      <c r="F30">
        <f>SUMIF(고정형!$BF:$BF,'제품군별 SUMMARY'!$C30,고정형!S:S)</f>
        <v/>
      </c>
      <c r="G30">
        <f>SUMIF(고정형!$BF:$BF,'제품군별 SUMMARY'!$C30,고정형!T:T)/1000000</f>
        <v/>
      </c>
      <c r="H30">
        <f>SUMIF(고정형!$BF:$BF,'제품군별 SUMMARY'!$C30,고정형!V:V)</f>
        <v/>
      </c>
      <c r="I30">
        <f>SUMIF(고정형!$BF:$BF,'제품군별 SUMMARY'!$C30,고정형!W:W)/1000000</f>
        <v/>
      </c>
      <c r="J30">
        <f>SUMIF(고정형!$BF:$BF,'제품군별 SUMMARY'!$C30,고정형!Y:Y)</f>
        <v/>
      </c>
      <c r="K30">
        <f>SUMIF(고정형!$BF:$BF,'제품군별 SUMMARY'!$C30,고정형!Z:Z)/1000000</f>
        <v/>
      </c>
      <c r="L30">
        <f>SUMIF(고정형!$BF:$BF,'제품군별 SUMMARY'!$C30,고정형!AB:AB)</f>
        <v/>
      </c>
      <c r="M30">
        <f>SUMIF(고정형!$BF:$BF,'제품군별 SUMMARY'!$C30,고정형!AC:AC)/1000000</f>
        <v/>
      </c>
      <c r="N30">
        <f>SUMIF(고정형!$BF:$BF,'제품군별 SUMMARY'!$C30,고정형!AE:AE)</f>
        <v/>
      </c>
      <c r="O30">
        <f>SUMIF(고정형!$BF:$BF,'제품군별 SUMMARY'!$C30,고정형!AF:AF)/1000000</f>
        <v/>
      </c>
      <c r="P30">
        <f>SUMIF(고정형!$BF:$BF,'제품군별 SUMMARY'!$C30,고정형!AH:AH)</f>
        <v/>
      </c>
      <c r="Q30">
        <f>SUMIF(고정형!$BF:$BF,'제품군별 SUMMARY'!$C30,고정형!AI:AI)/1000000</f>
        <v/>
      </c>
      <c r="R30">
        <f>SUMIF(고정형!$BF:$BF,'제품군별 SUMMARY'!$C30,고정형!AK:AK)</f>
        <v/>
      </c>
      <c r="S30">
        <f>SUMIF(고정형!$BF:$BF,'제품군별 SUMMARY'!$C30,고정형!AL:AL)/1000000</f>
        <v/>
      </c>
      <c r="T30">
        <f>SUMIF(고정형!$BF:$BF,'제품군별 SUMMARY'!$C30,고정형!AN:AN)</f>
        <v/>
      </c>
      <c r="U30">
        <f>SUMIF(고정형!$BF:$BF,'제품군별 SUMMARY'!$C30,고정형!AO:AO)/1000000</f>
        <v/>
      </c>
      <c r="V30">
        <f>SUMIF(고정형!$BF:$BF,'제품군별 SUMMARY'!$C30,고정형!AQ:AQ)</f>
        <v/>
      </c>
      <c r="W30">
        <f>SUMIF(고정형!$BF:$BF,'제품군별 SUMMARY'!$C30,고정형!AR:AR)/1000000</f>
        <v/>
      </c>
      <c r="X30">
        <f>SUMIF(고정형!$BF:$BF,'제품군별 SUMMARY'!$C30,고정형!AT:AT)</f>
        <v/>
      </c>
      <c r="Y30">
        <f>SUMIF(고정형!$BF:$BF,'제품군별 SUMMARY'!$C30,고정형!AU:AU)/1000000</f>
        <v/>
      </c>
      <c r="Z30">
        <f>SUMIF(고정형!$BF:$BF,'제품군별 SUMMARY'!$C30,고정형!AW:AW)</f>
        <v/>
      </c>
      <c r="AA30">
        <f>SUMIF(고정형!$BF:$BF,'제품군별 SUMMARY'!$C30,고정형!AX:AX)/1000000</f>
        <v/>
      </c>
    </row>
    <row r="31">
      <c r="C31" t="inlineStr">
        <is>
          <t>PS 소형</t>
        </is>
      </c>
      <c r="D31">
        <f>SUMIF(고정형!$BF:$BF,'제품군별 SUMMARY'!$C31,고정형!P:P)</f>
        <v/>
      </c>
      <c r="E31">
        <f>SUMIF(고정형!$BF:$BF,'제품군별 SUMMARY'!$C31,고정형!Q:Q)/1000000</f>
        <v/>
      </c>
      <c r="F31">
        <f>SUMIF(고정형!$BF:$BF,'제품군별 SUMMARY'!$C31,고정형!S:S)</f>
        <v/>
      </c>
      <c r="G31">
        <f>SUMIF(고정형!$BF:$BF,'제품군별 SUMMARY'!$C31,고정형!T:T)/1000000</f>
        <v/>
      </c>
      <c r="H31">
        <f>SUMIF(고정형!$BF:$BF,'제품군별 SUMMARY'!$C31,고정형!V:V)</f>
        <v/>
      </c>
      <c r="I31">
        <f>SUMIF(고정형!$BF:$BF,'제품군별 SUMMARY'!$C31,고정형!W:W)/1000000</f>
        <v/>
      </c>
      <c r="J31">
        <f>SUMIF(고정형!$BF:$BF,'제품군별 SUMMARY'!$C31,고정형!Y:Y)</f>
        <v/>
      </c>
      <c r="K31">
        <f>SUMIF(고정형!$BF:$BF,'제품군별 SUMMARY'!$C31,고정형!Z:Z)/1000000</f>
        <v/>
      </c>
      <c r="L31">
        <f>SUMIF(고정형!$BF:$BF,'제품군별 SUMMARY'!$C31,고정형!AB:AB)</f>
        <v/>
      </c>
      <c r="M31">
        <f>SUMIF(고정형!$BF:$BF,'제품군별 SUMMARY'!$C31,고정형!AC:AC)/1000000</f>
        <v/>
      </c>
      <c r="N31">
        <f>SUMIF(고정형!$BF:$BF,'제품군별 SUMMARY'!$C31,고정형!AE:AE)</f>
        <v/>
      </c>
      <c r="O31">
        <f>SUMIF(고정형!$BF:$BF,'제품군별 SUMMARY'!$C31,고정형!AF:AF)/1000000</f>
        <v/>
      </c>
      <c r="P31">
        <f>SUMIF(고정형!$BF:$BF,'제품군별 SUMMARY'!$C31,고정형!AH:AH)</f>
        <v/>
      </c>
      <c r="Q31">
        <f>SUMIF(고정형!$BF:$BF,'제품군별 SUMMARY'!$C31,고정형!AI:AI)/1000000</f>
        <v/>
      </c>
      <c r="R31">
        <f>SUMIF(고정형!$BF:$BF,'제품군별 SUMMARY'!$C31,고정형!AK:AK)</f>
        <v/>
      </c>
      <c r="S31">
        <f>SUMIF(고정형!$BF:$BF,'제품군별 SUMMARY'!$C31,고정형!AL:AL)/1000000</f>
        <v/>
      </c>
      <c r="T31">
        <f>SUMIF(고정형!$BF:$BF,'제품군별 SUMMARY'!$C31,고정형!AN:AN)</f>
        <v/>
      </c>
      <c r="U31">
        <f>SUMIF(고정형!$BF:$BF,'제품군별 SUMMARY'!$C31,고정형!AO:AO)/1000000</f>
        <v/>
      </c>
      <c r="V31">
        <f>SUMIF(고정형!$BF:$BF,'제품군별 SUMMARY'!$C31,고정형!AQ:AQ)</f>
        <v/>
      </c>
      <c r="W31">
        <f>SUMIF(고정형!$BF:$BF,'제품군별 SUMMARY'!$C31,고정형!AR:AR)/1000000</f>
        <v/>
      </c>
      <c r="X31">
        <f>SUMIF(고정형!$BF:$BF,'제품군별 SUMMARY'!$C31,고정형!AT:AT)</f>
        <v/>
      </c>
      <c r="Y31">
        <f>SUMIF(고정형!$BF:$BF,'제품군별 SUMMARY'!$C31,고정형!AU:AU)/1000000</f>
        <v/>
      </c>
      <c r="Z31">
        <f>SUMIF(고정형!$BF:$BF,'제품군별 SUMMARY'!$C31,고정형!AW:AW)</f>
        <v/>
      </c>
      <c r="AA31">
        <f>SUMIF(고정형!$BF:$BF,'제품군별 SUMMARY'!$C31,고정형!AX:AX)/1000000</f>
        <v/>
      </c>
    </row>
    <row r="32">
      <c r="C32" t="inlineStr">
        <is>
          <t>PS 중형</t>
        </is>
      </c>
      <c r="D32">
        <f>SUMIF(고정형!$BF:$BF,'제품군별 SUMMARY'!$C32,고정형!P:P)</f>
        <v/>
      </c>
      <c r="E32">
        <f>SUMIF(고정형!$BF:$BF,'제품군별 SUMMARY'!$C32,고정형!Q:Q)/1000000</f>
        <v/>
      </c>
      <c r="F32">
        <f>SUMIF(고정형!$BF:$BF,'제품군별 SUMMARY'!$C32,고정형!S:S)</f>
        <v/>
      </c>
      <c r="G32">
        <f>SUMIF(고정형!$BF:$BF,'제품군별 SUMMARY'!$C32,고정형!T:T)/1000000</f>
        <v/>
      </c>
      <c r="H32">
        <f>SUMIF(고정형!$BF:$BF,'제품군별 SUMMARY'!$C32,고정형!V:V)</f>
        <v/>
      </c>
      <c r="I32">
        <f>SUMIF(고정형!$BF:$BF,'제품군별 SUMMARY'!$C32,고정형!W:W)/1000000</f>
        <v/>
      </c>
      <c r="J32">
        <f>SUMIF(고정형!$BF:$BF,'제품군별 SUMMARY'!$C32,고정형!Y:Y)</f>
        <v/>
      </c>
      <c r="K32">
        <f>SUMIF(고정형!$BF:$BF,'제품군별 SUMMARY'!$C32,고정형!Z:Z)/1000000</f>
        <v/>
      </c>
      <c r="L32">
        <f>SUMIF(고정형!$BF:$BF,'제품군별 SUMMARY'!$C32,고정형!AB:AB)</f>
        <v/>
      </c>
      <c r="M32">
        <f>SUMIF(고정형!$BF:$BF,'제품군별 SUMMARY'!$C32,고정형!AC:AC)/1000000</f>
        <v/>
      </c>
      <c r="N32">
        <f>SUMIF(고정형!$BF:$BF,'제품군별 SUMMARY'!$C32,고정형!AE:AE)</f>
        <v/>
      </c>
      <c r="O32">
        <f>SUMIF(고정형!$BF:$BF,'제품군별 SUMMARY'!$C32,고정형!AF:AF)/1000000</f>
        <v/>
      </c>
      <c r="P32">
        <f>SUMIF(고정형!$BF:$BF,'제품군별 SUMMARY'!$C32,고정형!AH:AH)</f>
        <v/>
      </c>
      <c r="Q32">
        <f>SUMIF(고정형!$BF:$BF,'제품군별 SUMMARY'!$C32,고정형!AI:AI)/1000000</f>
        <v/>
      </c>
      <c r="R32">
        <f>SUMIF(고정형!$BF:$BF,'제품군별 SUMMARY'!$C32,고정형!AK:AK)</f>
        <v/>
      </c>
      <c r="S32">
        <f>SUMIF(고정형!$BF:$BF,'제품군별 SUMMARY'!$C32,고정형!AL:AL)/1000000</f>
        <v/>
      </c>
      <c r="T32">
        <f>SUMIF(고정형!$BF:$BF,'제품군별 SUMMARY'!$C32,고정형!AN:AN)</f>
        <v/>
      </c>
      <c r="U32">
        <f>SUMIF(고정형!$BF:$BF,'제품군별 SUMMARY'!$C32,고정형!AO:AO)/1000000</f>
        <v/>
      </c>
      <c r="V32">
        <f>SUMIF(고정형!$BF:$BF,'제품군별 SUMMARY'!$C32,고정형!AQ:AQ)</f>
        <v/>
      </c>
      <c r="W32">
        <f>SUMIF(고정형!$BF:$BF,'제품군별 SUMMARY'!$C32,고정형!AR:AR)/1000000</f>
        <v/>
      </c>
      <c r="X32">
        <f>SUMIF(고정형!$BF:$BF,'제품군별 SUMMARY'!$C32,고정형!AT:AT)</f>
        <v/>
      </c>
      <c r="Y32">
        <f>SUMIF(고정형!$BF:$BF,'제품군별 SUMMARY'!$C32,고정형!AU:AU)/1000000</f>
        <v/>
      </c>
      <c r="Z32">
        <f>SUMIF(고정형!$BF:$BF,'제품군별 SUMMARY'!$C32,고정형!AW:AW)</f>
        <v/>
      </c>
      <c r="AA32">
        <f>SUMIF(고정형!$BF:$BF,'제품군별 SUMMARY'!$C32,고정형!AX:AX)/1000000</f>
        <v/>
      </c>
    </row>
    <row r="33">
      <c r="C33" t="inlineStr">
        <is>
          <t>PT(SB)</t>
        </is>
      </c>
      <c r="D33">
        <f>SUMIF(고정형!$BF:$BF,'제품군별 SUMMARY'!$C33,고정형!P:P)</f>
        <v/>
      </c>
      <c r="E33">
        <f>SUMIF(고정형!$BF:$BF,'제품군별 SUMMARY'!$C33,고정형!Q:Q)/1000000</f>
        <v/>
      </c>
      <c r="F33">
        <f>SUMIF(고정형!$BF:$BF,'제품군별 SUMMARY'!$C33,고정형!S:S)</f>
        <v/>
      </c>
      <c r="G33">
        <f>SUMIF(고정형!$BF:$BF,'제품군별 SUMMARY'!$C33,고정형!T:T)/1000000</f>
        <v/>
      </c>
      <c r="H33">
        <f>SUMIF(고정형!$BF:$BF,'제품군별 SUMMARY'!$C33,고정형!V:V)</f>
        <v/>
      </c>
      <c r="I33">
        <f>SUMIF(고정형!$BF:$BF,'제품군별 SUMMARY'!$C33,고정형!W:W)/1000000</f>
        <v/>
      </c>
      <c r="J33">
        <f>SUMIF(고정형!$BF:$BF,'제품군별 SUMMARY'!$C33,고정형!Y:Y)</f>
        <v/>
      </c>
      <c r="K33">
        <f>SUMIF(고정형!$BF:$BF,'제품군별 SUMMARY'!$C33,고정형!Z:Z)/1000000</f>
        <v/>
      </c>
      <c r="L33">
        <f>SUMIF(고정형!$BF:$BF,'제품군별 SUMMARY'!$C33,고정형!AB:AB)</f>
        <v/>
      </c>
      <c r="M33">
        <f>SUMIF(고정형!$BF:$BF,'제품군별 SUMMARY'!$C33,고정형!AC:AC)/1000000</f>
        <v/>
      </c>
      <c r="N33">
        <f>SUMIF(고정형!$BF:$BF,'제품군별 SUMMARY'!$C33,고정형!AE:AE)</f>
        <v/>
      </c>
      <c r="O33">
        <f>SUMIF(고정형!$BF:$BF,'제품군별 SUMMARY'!$C33,고정형!AF:AF)/1000000</f>
        <v/>
      </c>
      <c r="P33">
        <f>SUMIF(고정형!$BF:$BF,'제품군별 SUMMARY'!$C33,고정형!AH:AH)</f>
        <v/>
      </c>
      <c r="Q33">
        <f>SUMIF(고정형!$BF:$BF,'제품군별 SUMMARY'!$C33,고정형!AI:AI)/1000000</f>
        <v/>
      </c>
      <c r="R33">
        <f>SUMIF(고정형!$BF:$BF,'제품군별 SUMMARY'!$C33,고정형!AK:AK)</f>
        <v/>
      </c>
      <c r="S33">
        <f>SUMIF(고정형!$BF:$BF,'제품군별 SUMMARY'!$C33,고정형!AL:AL)/1000000</f>
        <v/>
      </c>
      <c r="T33">
        <f>SUMIF(고정형!$BF:$BF,'제품군별 SUMMARY'!$C33,고정형!AN:AN)</f>
        <v/>
      </c>
      <c r="U33">
        <f>SUMIF(고정형!$BF:$BF,'제품군별 SUMMARY'!$C33,고정형!AO:AO)/1000000</f>
        <v/>
      </c>
      <c r="V33">
        <f>SUMIF(고정형!$BF:$BF,'제품군별 SUMMARY'!$C33,고정형!AQ:AQ)</f>
        <v/>
      </c>
      <c r="W33">
        <f>SUMIF(고정형!$BF:$BF,'제품군별 SUMMARY'!$C33,고정형!AR:AR)/1000000</f>
        <v/>
      </c>
      <c r="X33">
        <f>SUMIF(고정형!$BF:$BF,'제품군별 SUMMARY'!$C33,고정형!AT:AT)</f>
        <v/>
      </c>
      <c r="Y33">
        <f>SUMIF(고정형!$BF:$BF,'제품군별 SUMMARY'!$C33,고정형!AU:AU)/1000000</f>
        <v/>
      </c>
      <c r="Z33">
        <f>SUMIF(고정형!$BF:$BF,'제품군별 SUMMARY'!$C33,고정형!AW:AW)</f>
        <v/>
      </c>
      <c r="AA33">
        <f>SUMIF(고정형!$BF:$BF,'제품군별 SUMMARY'!$C33,고정형!AX:AX)/1000000</f>
        <v/>
      </c>
    </row>
    <row r="34">
      <c r="C34" t="inlineStr">
        <is>
          <t>RP 대형</t>
        </is>
      </c>
      <c r="D34">
        <f>SUMIF(고정형!$BF:$BF,'제품군별 SUMMARY'!$C34,고정형!P:P)</f>
        <v/>
      </c>
      <c r="E34">
        <f>SUMIF(고정형!$BF:$BF,'제품군별 SUMMARY'!$C34,고정형!Q:Q)/1000000</f>
        <v/>
      </c>
      <c r="F34">
        <f>SUMIF(고정형!$BF:$BF,'제품군별 SUMMARY'!$C34,고정형!S:S)</f>
        <v/>
      </c>
      <c r="G34">
        <f>SUMIF(고정형!$BF:$BF,'제품군별 SUMMARY'!$C34,고정형!T:T)/1000000</f>
        <v/>
      </c>
      <c r="H34">
        <f>SUMIF(고정형!$BF:$BF,'제품군별 SUMMARY'!$C34,고정형!V:V)</f>
        <v/>
      </c>
      <c r="I34">
        <f>SUMIF(고정형!$BF:$BF,'제품군별 SUMMARY'!$C34,고정형!W:W)/1000000</f>
        <v/>
      </c>
      <c r="J34">
        <f>SUMIF(고정형!$BF:$BF,'제품군별 SUMMARY'!$C34,고정형!Y:Y)</f>
        <v/>
      </c>
      <c r="K34">
        <f>SUMIF(고정형!$BF:$BF,'제품군별 SUMMARY'!$C34,고정형!Z:Z)/1000000</f>
        <v/>
      </c>
      <c r="L34">
        <f>SUMIF(고정형!$BF:$BF,'제품군별 SUMMARY'!$C34,고정형!AB:AB)</f>
        <v/>
      </c>
      <c r="M34">
        <f>SUMIF(고정형!$BF:$BF,'제품군별 SUMMARY'!$C34,고정형!AC:AC)/1000000</f>
        <v/>
      </c>
      <c r="N34">
        <f>SUMIF(고정형!$BF:$BF,'제품군별 SUMMARY'!$C34,고정형!AE:AE)</f>
        <v/>
      </c>
      <c r="O34">
        <f>SUMIF(고정형!$BF:$BF,'제품군별 SUMMARY'!$C34,고정형!AF:AF)/1000000</f>
        <v/>
      </c>
      <c r="P34">
        <f>SUMIF(고정형!$BF:$BF,'제품군별 SUMMARY'!$C34,고정형!AH:AH)</f>
        <v/>
      </c>
      <c r="Q34">
        <f>SUMIF(고정형!$BF:$BF,'제품군별 SUMMARY'!$C34,고정형!AI:AI)/1000000</f>
        <v/>
      </c>
      <c r="R34">
        <f>SUMIF(고정형!$BF:$BF,'제품군별 SUMMARY'!$C34,고정형!AK:AK)</f>
        <v/>
      </c>
      <c r="S34">
        <f>SUMIF(고정형!$BF:$BF,'제품군별 SUMMARY'!$C34,고정형!AL:AL)/1000000</f>
        <v/>
      </c>
      <c r="T34">
        <f>SUMIF(고정형!$BF:$BF,'제품군별 SUMMARY'!$C34,고정형!AN:AN)</f>
        <v/>
      </c>
      <c r="U34">
        <f>SUMIF(고정형!$BF:$BF,'제품군별 SUMMARY'!$C34,고정형!AO:AO)/1000000</f>
        <v/>
      </c>
      <c r="V34">
        <f>SUMIF(고정형!$BF:$BF,'제품군별 SUMMARY'!$C34,고정형!AQ:AQ)</f>
        <v/>
      </c>
      <c r="W34">
        <f>SUMIF(고정형!$BF:$BF,'제품군별 SUMMARY'!$C34,고정형!AR:AR)/1000000</f>
        <v/>
      </c>
      <c r="X34">
        <f>SUMIF(고정형!$BF:$BF,'제품군별 SUMMARY'!$C34,고정형!AT:AT)</f>
        <v/>
      </c>
      <c r="Y34">
        <f>SUMIF(고정형!$BF:$BF,'제품군별 SUMMARY'!$C34,고정형!AU:AU)/1000000</f>
        <v/>
      </c>
      <c r="Z34">
        <f>SUMIF(고정형!$BF:$BF,'제품군별 SUMMARY'!$C34,고정형!AW:AW)</f>
        <v/>
      </c>
      <c r="AA34">
        <f>SUMIF(고정형!$BF:$BF,'제품군별 SUMMARY'!$C34,고정형!AX:AX)/1000000</f>
        <v/>
      </c>
    </row>
    <row r="35">
      <c r="C35" t="inlineStr">
        <is>
          <t>RP 소형</t>
        </is>
      </c>
      <c r="D35">
        <f>SUMIF(고정형!$BF:$BF,'제품군별 SUMMARY'!$C35,고정형!P:P)</f>
        <v/>
      </c>
      <c r="E35">
        <f>SUMIF(고정형!$BF:$BF,'제품군별 SUMMARY'!$C35,고정형!Q:Q)/1000000</f>
        <v/>
      </c>
      <c r="F35">
        <f>SUMIF(고정형!$BF:$BF,'제품군별 SUMMARY'!$C35,고정형!S:S)</f>
        <v/>
      </c>
      <c r="G35">
        <f>SUMIF(고정형!$BF:$BF,'제품군별 SUMMARY'!$C35,고정형!T:T)/1000000</f>
        <v/>
      </c>
      <c r="H35">
        <f>SUMIF(고정형!$BF:$BF,'제품군별 SUMMARY'!$C35,고정형!V:V)</f>
        <v/>
      </c>
      <c r="I35">
        <f>SUMIF(고정형!$BF:$BF,'제품군별 SUMMARY'!$C35,고정형!W:W)/1000000</f>
        <v/>
      </c>
      <c r="J35">
        <f>SUMIF(고정형!$BF:$BF,'제품군별 SUMMARY'!$C35,고정형!Y:Y)</f>
        <v/>
      </c>
      <c r="K35">
        <f>SUMIF(고정형!$BF:$BF,'제품군별 SUMMARY'!$C35,고정형!Z:Z)/1000000</f>
        <v/>
      </c>
      <c r="L35">
        <f>SUMIF(고정형!$BF:$BF,'제품군별 SUMMARY'!$C35,고정형!AB:AB)</f>
        <v/>
      </c>
      <c r="M35">
        <f>SUMIF(고정형!$BF:$BF,'제품군별 SUMMARY'!$C35,고정형!AC:AC)/1000000</f>
        <v/>
      </c>
      <c r="N35">
        <f>SUMIF(고정형!$BF:$BF,'제품군별 SUMMARY'!$C35,고정형!AE:AE)</f>
        <v/>
      </c>
      <c r="O35">
        <f>SUMIF(고정형!$BF:$BF,'제품군별 SUMMARY'!$C35,고정형!AF:AF)/1000000</f>
        <v/>
      </c>
      <c r="P35">
        <f>SUMIF(고정형!$BF:$BF,'제품군별 SUMMARY'!$C35,고정형!AH:AH)</f>
        <v/>
      </c>
      <c r="Q35">
        <f>SUMIF(고정형!$BF:$BF,'제품군별 SUMMARY'!$C35,고정형!AI:AI)/1000000</f>
        <v/>
      </c>
      <c r="R35">
        <f>SUMIF(고정형!$BF:$BF,'제품군별 SUMMARY'!$C35,고정형!AK:AK)</f>
        <v/>
      </c>
      <c r="S35">
        <f>SUMIF(고정형!$BF:$BF,'제품군별 SUMMARY'!$C35,고정형!AL:AL)/1000000</f>
        <v/>
      </c>
      <c r="T35">
        <f>SUMIF(고정형!$BF:$BF,'제품군별 SUMMARY'!$C35,고정형!AN:AN)</f>
        <v/>
      </c>
      <c r="U35">
        <f>SUMIF(고정형!$BF:$BF,'제품군별 SUMMARY'!$C35,고정형!AO:AO)/1000000</f>
        <v/>
      </c>
      <c r="V35">
        <f>SUMIF(고정형!$BF:$BF,'제품군별 SUMMARY'!$C35,고정형!AQ:AQ)</f>
        <v/>
      </c>
      <c r="W35">
        <f>SUMIF(고정형!$BF:$BF,'제품군별 SUMMARY'!$C35,고정형!AR:AR)/1000000</f>
        <v/>
      </c>
      <c r="X35">
        <f>SUMIF(고정형!$BF:$BF,'제품군별 SUMMARY'!$C35,고정형!AT:AT)</f>
        <v/>
      </c>
      <c r="Y35">
        <f>SUMIF(고정형!$BF:$BF,'제품군별 SUMMARY'!$C35,고정형!AU:AU)/1000000</f>
        <v/>
      </c>
      <c r="Z35">
        <f>SUMIF(고정형!$BF:$BF,'제품군별 SUMMARY'!$C35,고정형!AW:AW)</f>
        <v/>
      </c>
      <c r="AA35">
        <f>SUMIF(고정형!$BF:$BF,'제품군별 SUMMARY'!$C35,고정형!AX:AX)/1000000</f>
        <v/>
      </c>
    </row>
    <row r="36">
      <c r="C36" t="inlineStr">
        <is>
          <t>RP 중형</t>
        </is>
      </c>
      <c r="D36">
        <f>SUMIF(고정형!$BF:$BF,'제품군별 SUMMARY'!$C36,고정형!P:P)</f>
        <v/>
      </c>
      <c r="E36">
        <f>SUMIF(고정형!$BF:$BF,'제품군별 SUMMARY'!$C36,고정형!Q:Q)/1000000</f>
        <v/>
      </c>
      <c r="F36">
        <f>SUMIF(고정형!$BF:$BF,'제품군별 SUMMARY'!$C36,고정형!S:S)</f>
        <v/>
      </c>
      <c r="G36">
        <f>SUMIF(고정형!$BF:$BF,'제품군별 SUMMARY'!$C36,고정형!T:T)/1000000</f>
        <v/>
      </c>
      <c r="H36">
        <f>SUMIF(고정형!$BF:$BF,'제품군별 SUMMARY'!$C36,고정형!V:V)</f>
        <v/>
      </c>
      <c r="I36">
        <f>SUMIF(고정형!$BF:$BF,'제품군별 SUMMARY'!$C36,고정형!W:W)/1000000</f>
        <v/>
      </c>
      <c r="J36">
        <f>SUMIF(고정형!$BF:$BF,'제품군별 SUMMARY'!$C36,고정형!Y:Y)</f>
        <v/>
      </c>
      <c r="K36">
        <f>SUMIF(고정형!$BF:$BF,'제품군별 SUMMARY'!$C36,고정형!Z:Z)/1000000</f>
        <v/>
      </c>
      <c r="L36">
        <f>SUMIF(고정형!$BF:$BF,'제품군별 SUMMARY'!$C36,고정형!AB:AB)</f>
        <v/>
      </c>
      <c r="M36">
        <f>SUMIF(고정형!$BF:$BF,'제품군별 SUMMARY'!$C36,고정형!AC:AC)/1000000</f>
        <v/>
      </c>
      <c r="N36">
        <f>SUMIF(고정형!$BF:$BF,'제품군별 SUMMARY'!$C36,고정형!AE:AE)</f>
        <v/>
      </c>
      <c r="O36">
        <f>SUMIF(고정형!$BF:$BF,'제품군별 SUMMARY'!$C36,고정형!AF:AF)/1000000</f>
        <v/>
      </c>
      <c r="P36">
        <f>SUMIF(고정형!$BF:$BF,'제품군별 SUMMARY'!$C36,고정형!AH:AH)</f>
        <v/>
      </c>
      <c r="Q36">
        <f>SUMIF(고정형!$BF:$BF,'제품군별 SUMMARY'!$C36,고정형!AI:AI)/1000000</f>
        <v/>
      </c>
      <c r="R36">
        <f>SUMIF(고정형!$BF:$BF,'제품군별 SUMMARY'!$C36,고정형!AK:AK)</f>
        <v/>
      </c>
      <c r="S36">
        <f>SUMIF(고정형!$BF:$BF,'제품군별 SUMMARY'!$C36,고정형!AL:AL)/1000000</f>
        <v/>
      </c>
      <c r="T36">
        <f>SUMIF(고정형!$BF:$BF,'제품군별 SUMMARY'!$C36,고정형!AN:AN)</f>
        <v/>
      </c>
      <c r="U36">
        <f>SUMIF(고정형!$BF:$BF,'제품군별 SUMMARY'!$C36,고정형!AO:AO)/1000000</f>
        <v/>
      </c>
      <c r="V36">
        <f>SUMIF(고정형!$BF:$BF,'제품군별 SUMMARY'!$C36,고정형!AQ:AQ)</f>
        <v/>
      </c>
      <c r="W36">
        <f>SUMIF(고정형!$BF:$BF,'제품군별 SUMMARY'!$C36,고정형!AR:AR)/1000000</f>
        <v/>
      </c>
      <c r="X36">
        <f>SUMIF(고정형!$BF:$BF,'제품군별 SUMMARY'!$C36,고정형!AT:AT)</f>
        <v/>
      </c>
      <c r="Y36">
        <f>SUMIF(고정형!$BF:$BF,'제품군별 SUMMARY'!$C36,고정형!AU:AU)/1000000</f>
        <v/>
      </c>
      <c r="Z36">
        <f>SUMIF(고정형!$BF:$BF,'제품군별 SUMMARY'!$C36,고정형!AW:AW)</f>
        <v/>
      </c>
      <c r="AA36">
        <f>SUMIF(고정형!$BF:$BF,'제품군별 SUMMARY'!$C36,고정형!AX:AX)/1000000</f>
        <v/>
      </c>
    </row>
    <row r="37">
      <c r="C37" t="inlineStr">
        <is>
          <t>VGS 대형</t>
        </is>
      </c>
      <c r="D37">
        <f>SUMIF(고정형!$BF:$BF,'제품군별 SUMMARY'!$C37,고정형!P:P)</f>
        <v/>
      </c>
      <c r="E37">
        <f>SUMIF(고정형!$BF:$BF,'제품군별 SUMMARY'!$C37,고정형!Q:Q)/1000000</f>
        <v/>
      </c>
      <c r="F37">
        <f>SUMIF(고정형!$BF:$BF,'제품군별 SUMMARY'!$C37,고정형!S:S)</f>
        <v/>
      </c>
      <c r="G37">
        <f>SUMIF(고정형!$BF:$BF,'제품군별 SUMMARY'!$C37,고정형!T:T)/1000000</f>
        <v/>
      </c>
      <c r="H37">
        <f>SUMIF(고정형!$BF:$BF,'제품군별 SUMMARY'!$C37,고정형!V:V)</f>
        <v/>
      </c>
      <c r="I37">
        <f>SUMIF(고정형!$BF:$BF,'제품군별 SUMMARY'!$C37,고정형!W:W)/1000000</f>
        <v/>
      </c>
      <c r="J37">
        <f>SUMIF(고정형!$BF:$BF,'제품군별 SUMMARY'!$C37,고정형!Y:Y)</f>
        <v/>
      </c>
      <c r="K37">
        <f>SUMIF(고정형!$BF:$BF,'제품군별 SUMMARY'!$C37,고정형!Z:Z)/1000000</f>
        <v/>
      </c>
      <c r="L37">
        <f>SUMIF(고정형!$BF:$BF,'제품군별 SUMMARY'!$C37,고정형!AB:AB)</f>
        <v/>
      </c>
      <c r="M37">
        <f>SUMIF(고정형!$BF:$BF,'제품군별 SUMMARY'!$C37,고정형!AC:AC)/1000000</f>
        <v/>
      </c>
      <c r="N37">
        <f>SUMIF(고정형!$BF:$BF,'제품군별 SUMMARY'!$C37,고정형!AE:AE)</f>
        <v/>
      </c>
      <c r="O37">
        <f>SUMIF(고정형!$BF:$BF,'제품군별 SUMMARY'!$C37,고정형!AF:AF)/1000000</f>
        <v/>
      </c>
      <c r="P37">
        <f>SUMIF(고정형!$BF:$BF,'제품군별 SUMMARY'!$C37,고정형!AH:AH)</f>
        <v/>
      </c>
      <c r="Q37">
        <f>SUMIF(고정형!$BF:$BF,'제품군별 SUMMARY'!$C37,고정형!AI:AI)/1000000</f>
        <v/>
      </c>
      <c r="R37">
        <f>SUMIF(고정형!$BF:$BF,'제품군별 SUMMARY'!$C37,고정형!AK:AK)</f>
        <v/>
      </c>
      <c r="S37">
        <f>SUMIF(고정형!$BF:$BF,'제품군별 SUMMARY'!$C37,고정형!AL:AL)/1000000</f>
        <v/>
      </c>
      <c r="T37">
        <f>SUMIF(고정형!$BF:$BF,'제품군별 SUMMARY'!$C37,고정형!AN:AN)</f>
        <v/>
      </c>
      <c r="U37">
        <f>SUMIF(고정형!$BF:$BF,'제품군별 SUMMARY'!$C37,고정형!AO:AO)/1000000</f>
        <v/>
      </c>
      <c r="V37">
        <f>SUMIF(고정형!$BF:$BF,'제품군별 SUMMARY'!$C37,고정형!AQ:AQ)</f>
        <v/>
      </c>
      <c r="W37">
        <f>SUMIF(고정형!$BF:$BF,'제품군별 SUMMARY'!$C37,고정형!AR:AR)/1000000</f>
        <v/>
      </c>
      <c r="X37">
        <f>SUMIF(고정형!$BF:$BF,'제품군별 SUMMARY'!$C37,고정형!AT:AT)</f>
        <v/>
      </c>
      <c r="Y37">
        <f>SUMIF(고정형!$BF:$BF,'제품군별 SUMMARY'!$C37,고정형!AU:AU)/1000000</f>
        <v/>
      </c>
      <c r="Z37">
        <f>SUMIF(고정형!$BF:$BF,'제품군별 SUMMARY'!$C37,고정형!AW:AW)</f>
        <v/>
      </c>
      <c r="AA37">
        <f>SUMIF(고정형!$BF:$BF,'제품군별 SUMMARY'!$C37,고정형!AX:AX)/1000000</f>
        <v/>
      </c>
    </row>
    <row r="38">
      <c r="C38" t="inlineStr">
        <is>
          <t>VGS 소형</t>
        </is>
      </c>
      <c r="D38">
        <f>SUMIF(고정형!$BF:$BF,'제품군별 SUMMARY'!$C38,고정형!P:P)</f>
        <v/>
      </c>
      <c r="E38">
        <f>SUMIF(고정형!$BF:$BF,'제품군별 SUMMARY'!$C38,고정형!Q:Q)/1000000</f>
        <v/>
      </c>
      <c r="F38">
        <f>SUMIF(고정형!$BF:$BF,'제품군별 SUMMARY'!$C38,고정형!S:S)</f>
        <v/>
      </c>
      <c r="G38">
        <f>SUMIF(고정형!$BF:$BF,'제품군별 SUMMARY'!$C38,고정형!T:T)/1000000</f>
        <v/>
      </c>
      <c r="H38">
        <f>SUMIF(고정형!$BF:$BF,'제품군별 SUMMARY'!$C38,고정형!V:V)</f>
        <v/>
      </c>
      <c r="I38">
        <f>SUMIF(고정형!$BF:$BF,'제품군별 SUMMARY'!$C38,고정형!W:W)/1000000</f>
        <v/>
      </c>
      <c r="J38">
        <f>SUMIF(고정형!$BF:$BF,'제품군별 SUMMARY'!$C38,고정형!Y:Y)</f>
        <v/>
      </c>
      <c r="K38">
        <f>SUMIF(고정형!$BF:$BF,'제품군별 SUMMARY'!$C38,고정형!Z:Z)/1000000</f>
        <v/>
      </c>
      <c r="L38">
        <f>SUMIF(고정형!$BF:$BF,'제품군별 SUMMARY'!$C38,고정형!AB:AB)</f>
        <v/>
      </c>
      <c r="M38">
        <f>SUMIF(고정형!$BF:$BF,'제품군별 SUMMARY'!$C38,고정형!AC:AC)/1000000</f>
        <v/>
      </c>
      <c r="N38">
        <f>SUMIF(고정형!$BF:$BF,'제품군별 SUMMARY'!$C38,고정형!AE:AE)</f>
        <v/>
      </c>
      <c r="O38">
        <f>SUMIF(고정형!$BF:$BF,'제품군별 SUMMARY'!$C38,고정형!AF:AF)/1000000</f>
        <v/>
      </c>
      <c r="P38">
        <f>SUMIF(고정형!$BF:$BF,'제품군별 SUMMARY'!$C38,고정형!AH:AH)</f>
        <v/>
      </c>
      <c r="Q38">
        <f>SUMIF(고정형!$BF:$BF,'제품군별 SUMMARY'!$C38,고정형!AI:AI)/1000000</f>
        <v/>
      </c>
      <c r="R38">
        <f>SUMIF(고정형!$BF:$BF,'제품군별 SUMMARY'!$C38,고정형!AK:AK)</f>
        <v/>
      </c>
      <c r="S38">
        <f>SUMIF(고정형!$BF:$BF,'제품군별 SUMMARY'!$C38,고정형!AL:AL)/1000000</f>
        <v/>
      </c>
      <c r="T38">
        <f>SUMIF(고정형!$BF:$BF,'제품군별 SUMMARY'!$C38,고정형!AN:AN)</f>
        <v/>
      </c>
      <c r="U38">
        <f>SUMIF(고정형!$BF:$BF,'제품군별 SUMMARY'!$C38,고정형!AO:AO)/1000000</f>
        <v/>
      </c>
      <c r="V38">
        <f>SUMIF(고정형!$BF:$BF,'제품군별 SUMMARY'!$C38,고정형!AQ:AQ)</f>
        <v/>
      </c>
      <c r="W38">
        <f>SUMIF(고정형!$BF:$BF,'제품군별 SUMMARY'!$C38,고정형!AR:AR)/1000000</f>
        <v/>
      </c>
      <c r="X38">
        <f>SUMIF(고정형!$BF:$BF,'제품군별 SUMMARY'!$C38,고정형!AT:AT)</f>
        <v/>
      </c>
      <c r="Y38">
        <f>SUMIF(고정형!$BF:$BF,'제품군별 SUMMARY'!$C38,고정형!AU:AU)/1000000</f>
        <v/>
      </c>
      <c r="Z38">
        <f>SUMIF(고정형!$BF:$BF,'제품군별 SUMMARY'!$C38,고정형!AW:AW)</f>
        <v/>
      </c>
      <c r="AA38">
        <f>SUMIF(고정형!$BF:$BF,'제품군별 SUMMARY'!$C38,고정형!AX:AX)/1000000</f>
        <v/>
      </c>
    </row>
    <row r="39">
      <c r="C39" t="inlineStr">
        <is>
          <t>VGS 중형</t>
        </is>
      </c>
      <c r="D39">
        <f>SUMIF(고정형!$BF:$BF,'제품군별 SUMMARY'!$C39,고정형!P:P)</f>
        <v/>
      </c>
      <c r="E39">
        <f>SUMIF(고정형!$BF:$BF,'제품군별 SUMMARY'!$C39,고정형!Q:Q)/1000000</f>
        <v/>
      </c>
      <c r="F39">
        <f>SUMIF(고정형!$BF:$BF,'제품군별 SUMMARY'!$C39,고정형!S:S)</f>
        <v/>
      </c>
      <c r="G39">
        <f>SUMIF(고정형!$BF:$BF,'제품군별 SUMMARY'!$C39,고정형!T:T)/1000000</f>
        <v/>
      </c>
      <c r="H39">
        <f>SUMIF(고정형!$BF:$BF,'제품군별 SUMMARY'!$C39,고정형!V:V)</f>
        <v/>
      </c>
      <c r="I39">
        <f>SUMIF(고정형!$BF:$BF,'제품군별 SUMMARY'!$C39,고정형!W:W)/1000000</f>
        <v/>
      </c>
      <c r="J39">
        <f>SUMIF(고정형!$BF:$BF,'제품군별 SUMMARY'!$C39,고정형!Y:Y)</f>
        <v/>
      </c>
      <c r="K39">
        <f>SUMIF(고정형!$BF:$BF,'제품군별 SUMMARY'!$C39,고정형!Z:Z)/1000000</f>
        <v/>
      </c>
      <c r="L39">
        <f>SUMIF(고정형!$BF:$BF,'제품군별 SUMMARY'!$C39,고정형!AB:AB)</f>
        <v/>
      </c>
      <c r="M39">
        <f>SUMIF(고정형!$BF:$BF,'제품군별 SUMMARY'!$C39,고정형!AC:AC)/1000000</f>
        <v/>
      </c>
      <c r="N39">
        <f>SUMIF(고정형!$BF:$BF,'제품군별 SUMMARY'!$C39,고정형!AE:AE)</f>
        <v/>
      </c>
      <c r="O39">
        <f>SUMIF(고정형!$BF:$BF,'제품군별 SUMMARY'!$C39,고정형!AF:AF)/1000000</f>
        <v/>
      </c>
      <c r="P39">
        <f>SUMIF(고정형!$BF:$BF,'제품군별 SUMMARY'!$C39,고정형!AH:AH)</f>
        <v/>
      </c>
      <c r="Q39">
        <f>SUMIF(고정형!$BF:$BF,'제품군별 SUMMARY'!$C39,고정형!AI:AI)/1000000</f>
        <v/>
      </c>
      <c r="R39">
        <f>SUMIF(고정형!$BF:$BF,'제품군별 SUMMARY'!$C39,고정형!AK:AK)</f>
        <v/>
      </c>
      <c r="S39">
        <f>SUMIF(고정형!$BF:$BF,'제품군별 SUMMARY'!$C39,고정형!AL:AL)/1000000</f>
        <v/>
      </c>
      <c r="T39">
        <f>SUMIF(고정형!$BF:$BF,'제품군별 SUMMARY'!$C39,고정형!AN:AN)</f>
        <v/>
      </c>
      <c r="U39">
        <f>SUMIF(고정형!$BF:$BF,'제품군별 SUMMARY'!$C39,고정형!AO:AO)/1000000</f>
        <v/>
      </c>
      <c r="V39">
        <f>SUMIF(고정형!$BF:$BF,'제품군별 SUMMARY'!$C39,고정형!AQ:AQ)</f>
        <v/>
      </c>
      <c r="W39">
        <f>SUMIF(고정형!$BF:$BF,'제품군별 SUMMARY'!$C39,고정형!AR:AR)/1000000</f>
        <v/>
      </c>
      <c r="X39">
        <f>SUMIF(고정형!$BF:$BF,'제품군별 SUMMARY'!$C39,고정형!AT:AT)</f>
        <v/>
      </c>
      <c r="Y39">
        <f>SUMIF(고정형!$BF:$BF,'제품군별 SUMMARY'!$C39,고정형!AU:AU)/1000000</f>
        <v/>
      </c>
      <c r="Z39">
        <f>SUMIF(고정형!$BF:$BF,'제품군별 SUMMARY'!$C39,고정형!AW:AW)</f>
        <v/>
      </c>
      <c r="AA39">
        <f>SUMIF(고정형!$BF:$BF,'제품군별 SUMMARY'!$C39,고정형!AX:AX)/1000000</f>
        <v/>
      </c>
    </row>
    <row r="40">
      <c r="C40" t="inlineStr">
        <is>
          <t>리튬-기타</t>
        </is>
      </c>
      <c r="D40">
        <f>SUMIF(고정형!$BF:$BF,'제품군별 SUMMARY'!$C40,고정형!P:P)</f>
        <v/>
      </c>
      <c r="E40">
        <f>SUMIF(고정형!$BF:$BF,'제품군별 SUMMARY'!$C40,고정형!Q:Q)/1000000</f>
        <v/>
      </c>
      <c r="F40">
        <f>SUMIF(고정형!$BF:$BF,'제품군별 SUMMARY'!$C40,고정형!S:S)</f>
        <v/>
      </c>
      <c r="G40">
        <f>SUMIF(고정형!$BF:$BF,'제품군별 SUMMARY'!$C40,고정형!T:T)/1000000</f>
        <v/>
      </c>
      <c r="H40">
        <f>SUMIF(고정형!$BF:$BF,'제품군별 SUMMARY'!$C40,고정형!V:V)</f>
        <v/>
      </c>
      <c r="I40">
        <f>SUMIF(고정형!$BF:$BF,'제품군별 SUMMARY'!$C40,고정형!W:W)/1000000</f>
        <v/>
      </c>
      <c r="J40">
        <f>SUMIF(고정형!$BF:$BF,'제품군별 SUMMARY'!$C40,고정형!Y:Y)</f>
        <v/>
      </c>
      <c r="K40">
        <f>SUMIF(고정형!$BF:$BF,'제품군별 SUMMARY'!$C40,고정형!Z:Z)/1000000</f>
        <v/>
      </c>
      <c r="L40">
        <f>SUMIF(고정형!$BF:$BF,'제품군별 SUMMARY'!$C40,고정형!AB:AB)</f>
        <v/>
      </c>
      <c r="M40">
        <f>SUMIF(고정형!$BF:$BF,'제품군별 SUMMARY'!$C40,고정형!AC:AC)/1000000</f>
        <v/>
      </c>
      <c r="N40">
        <f>SUMIF(고정형!$BF:$BF,'제품군별 SUMMARY'!$C40,고정형!AE:AE)</f>
        <v/>
      </c>
      <c r="O40">
        <f>SUMIF(고정형!$BF:$BF,'제품군별 SUMMARY'!$C40,고정형!AF:AF)/1000000</f>
        <v/>
      </c>
      <c r="P40">
        <f>SUMIF(고정형!$BF:$BF,'제품군별 SUMMARY'!$C40,고정형!AH:AH)</f>
        <v/>
      </c>
      <c r="Q40">
        <f>SUMIF(고정형!$BF:$BF,'제품군별 SUMMARY'!$C40,고정형!AI:AI)/1000000</f>
        <v/>
      </c>
      <c r="R40">
        <f>SUMIF(고정형!$BF:$BF,'제품군별 SUMMARY'!$C40,고정형!AK:AK)</f>
        <v/>
      </c>
      <c r="S40">
        <f>SUMIF(고정형!$BF:$BF,'제품군별 SUMMARY'!$C40,고정형!AL:AL)/1000000</f>
        <v/>
      </c>
      <c r="T40">
        <f>SUMIF(고정형!$BF:$BF,'제품군별 SUMMARY'!$C40,고정형!AN:AN)</f>
        <v/>
      </c>
      <c r="U40">
        <f>SUMIF(고정형!$BF:$BF,'제품군별 SUMMARY'!$C40,고정형!AO:AO)/1000000</f>
        <v/>
      </c>
      <c r="V40">
        <f>SUMIF(고정형!$BF:$BF,'제품군별 SUMMARY'!$C40,고정형!AQ:AQ)</f>
        <v/>
      </c>
      <c r="W40">
        <f>SUMIF(고정형!$BF:$BF,'제품군별 SUMMARY'!$C40,고정형!AR:AR)/1000000</f>
        <v/>
      </c>
      <c r="X40">
        <f>SUMIF(고정형!$BF:$BF,'제품군별 SUMMARY'!$C40,고정형!AT:AT)</f>
        <v/>
      </c>
      <c r="Y40">
        <f>SUMIF(고정형!$BF:$BF,'제품군별 SUMMARY'!$C40,고정형!AU:AU)/1000000</f>
        <v/>
      </c>
      <c r="Z40">
        <f>SUMIF(고정형!$BF:$BF,'제품군별 SUMMARY'!$C40,고정형!AW:AW)</f>
        <v/>
      </c>
      <c r="AA40">
        <f>SUMIF(고정형!$BF:$BF,'제품군별 SUMMARY'!$C40,고정형!AX:AX)/1000000</f>
        <v/>
      </c>
    </row>
    <row r="41">
      <c r="C41" t="inlineStr">
        <is>
          <t>산업용 기타</t>
        </is>
      </c>
      <c r="D41">
        <f>SUMIF(고정형!$BF:$BF,'제품군별 SUMMARY'!$C41,고정형!P:P)</f>
        <v/>
      </c>
      <c r="E41">
        <f>SUMIF(고정형!$BF:$BF,'제품군별 SUMMARY'!$C41,고정형!Q:Q)/1000000</f>
        <v/>
      </c>
      <c r="F41">
        <f>SUMIF(고정형!$BF:$BF,'제품군별 SUMMARY'!$C41,고정형!S:S)</f>
        <v/>
      </c>
      <c r="G41">
        <f>SUMIF(고정형!$BF:$BF,'제품군별 SUMMARY'!$C41,고정형!T:T)/1000000</f>
        <v/>
      </c>
      <c r="H41">
        <f>SUMIF(고정형!$BF:$BF,'제품군별 SUMMARY'!$C41,고정형!V:V)</f>
        <v/>
      </c>
      <c r="I41">
        <f>SUMIF(고정형!$BF:$BF,'제품군별 SUMMARY'!$C41,고정형!W:W)/1000000</f>
        <v/>
      </c>
      <c r="J41">
        <f>SUMIF(고정형!$BF:$BF,'제품군별 SUMMARY'!$C41,고정형!Y:Y)</f>
        <v/>
      </c>
      <c r="K41">
        <f>SUMIF(고정형!$BF:$BF,'제품군별 SUMMARY'!$C41,고정형!Z:Z)/1000000</f>
        <v/>
      </c>
      <c r="L41">
        <f>SUMIF(고정형!$BF:$BF,'제품군별 SUMMARY'!$C41,고정형!AB:AB)</f>
        <v/>
      </c>
      <c r="M41">
        <f>SUMIF(고정형!$BF:$BF,'제품군별 SUMMARY'!$C41,고정형!AC:AC)/1000000</f>
        <v/>
      </c>
      <c r="N41">
        <f>SUMIF(고정형!$BF:$BF,'제품군별 SUMMARY'!$C41,고정형!AE:AE)</f>
        <v/>
      </c>
      <c r="O41">
        <f>SUMIF(고정형!$BF:$BF,'제품군별 SUMMARY'!$C41,고정형!AF:AF)/1000000</f>
        <v/>
      </c>
      <c r="P41">
        <f>SUMIF(고정형!$BF:$BF,'제품군별 SUMMARY'!$C41,고정형!AH:AH)</f>
        <v/>
      </c>
      <c r="Q41">
        <f>SUMIF(고정형!$BF:$BF,'제품군별 SUMMARY'!$C41,고정형!AI:AI)/1000000</f>
        <v/>
      </c>
      <c r="R41">
        <f>SUMIF(고정형!$BF:$BF,'제품군별 SUMMARY'!$C41,고정형!AK:AK)</f>
        <v/>
      </c>
      <c r="S41">
        <f>SUMIF(고정형!$BF:$BF,'제품군별 SUMMARY'!$C41,고정형!AL:AL)/1000000</f>
        <v/>
      </c>
      <c r="T41">
        <f>SUMIF(고정형!$BF:$BF,'제품군별 SUMMARY'!$C41,고정형!AN:AN)</f>
        <v/>
      </c>
      <c r="U41">
        <f>SUMIF(고정형!$BF:$BF,'제품군별 SUMMARY'!$C41,고정형!AO:AO)/1000000</f>
        <v/>
      </c>
      <c r="V41">
        <f>SUMIF(고정형!$BF:$BF,'제품군별 SUMMARY'!$C41,고정형!AQ:AQ)</f>
        <v/>
      </c>
      <c r="W41">
        <f>SUMIF(고정형!$BF:$BF,'제품군별 SUMMARY'!$C41,고정형!AR:AR)/1000000</f>
        <v/>
      </c>
      <c r="X41">
        <f>SUMIF(고정형!$BF:$BF,'제품군별 SUMMARY'!$C41,고정형!AT:AT)</f>
        <v/>
      </c>
      <c r="Y41">
        <f>SUMIF(고정형!$BF:$BF,'제품군별 SUMMARY'!$C41,고정형!AU:AU)/1000000</f>
        <v/>
      </c>
      <c r="Z41">
        <f>SUMIF(고정형!$BF:$BF,'제품군별 SUMMARY'!$C41,고정형!AW:AW)</f>
        <v/>
      </c>
      <c r="AA41">
        <f>SUMIF(고정형!$BF:$BF,'제품군별 SUMMARY'!$C41,고정형!AX:AX)/1000000</f>
        <v/>
      </c>
    </row>
    <row r="42">
      <c r="B42" t="inlineStr">
        <is>
          <t>소계</t>
        </is>
      </c>
      <c r="D42">
        <f>SUM(D19:D41)</f>
        <v/>
      </c>
      <c r="E42">
        <f>SUM(E19:E41)</f>
        <v/>
      </c>
      <c r="F42">
        <f>SUM(F19:F41)</f>
        <v/>
      </c>
      <c r="G42">
        <f>SUM(G19:G41)</f>
        <v/>
      </c>
      <c r="H42">
        <f>SUM(H19:H41)</f>
        <v/>
      </c>
      <c r="I42">
        <f>SUM(I19:I41)</f>
        <v/>
      </c>
      <c r="J42">
        <f>SUM(J19:J41)</f>
        <v/>
      </c>
      <c r="K42">
        <f>SUM(K19:K41)</f>
        <v/>
      </c>
      <c r="L42">
        <f>SUM(L19:L41)</f>
        <v/>
      </c>
      <c r="M42">
        <f>SUM(M19:M41)</f>
        <v/>
      </c>
      <c r="N42">
        <f>SUM(N19:N41)</f>
        <v/>
      </c>
      <c r="O42">
        <f>SUM(O19:O41)</f>
        <v/>
      </c>
      <c r="P42">
        <f>SUM(P19:P41)</f>
        <v/>
      </c>
      <c r="Q42">
        <f>SUM(Q19:Q41)</f>
        <v/>
      </c>
      <c r="R42">
        <f>SUM(R19:R41)</f>
        <v/>
      </c>
      <c r="S42">
        <f>SUM(S19:S41)</f>
        <v/>
      </c>
      <c r="T42">
        <f>SUM(T19:T41)</f>
        <v/>
      </c>
      <c r="U42">
        <f>SUM(U19:U41)</f>
        <v/>
      </c>
      <c r="V42">
        <f>SUM(V19:V41)</f>
        <v/>
      </c>
      <c r="W42">
        <f>SUM(W19:W41)</f>
        <v/>
      </c>
      <c r="X42">
        <f>SUM(X19:X41)</f>
        <v/>
      </c>
      <c r="Y42">
        <f>SUM(Y19:Y41)</f>
        <v/>
      </c>
      <c r="Z42">
        <f>SUM(Z19:Z41)</f>
        <v/>
      </c>
      <c r="AA42">
        <f>SUM(AA19:AA41)</f>
        <v/>
      </c>
    </row>
    <row r="43">
      <c r="A43" t="inlineStr">
        <is>
          <t>차량
부문</t>
        </is>
      </c>
      <c r="B43" t="inlineStr">
        <is>
          <t>차량대리점</t>
        </is>
      </c>
      <c r="C43" t="inlineStr">
        <is>
          <t>AGM 3세대</t>
        </is>
      </c>
      <c r="D43">
        <f>SUMIF(차량대리점!$BF:$BF,'제품군별 SUMMARY'!$C43,차량대리점!P:P)</f>
        <v/>
      </c>
      <c r="E43">
        <f>SUMIF(차량대리점!$BF:$BF,'제품군별 SUMMARY'!$C43,차량대리점!Q:Q)/1000000</f>
        <v/>
      </c>
      <c r="F43">
        <f>SUMIF(차량대리점!$BF:$BF,'제품군별 SUMMARY'!$C43,차량대리점!S:S)</f>
        <v/>
      </c>
      <c r="G43">
        <f>SUMIF(차량대리점!$BF:$BF,'제품군별 SUMMARY'!$C43,차량대리점!T:T)/1000000</f>
        <v/>
      </c>
      <c r="H43">
        <f>SUMIF(차량대리점!$BF:$BF,'제품군별 SUMMARY'!$C43,차량대리점!V:V)</f>
        <v/>
      </c>
      <c r="I43">
        <f>SUMIF(차량대리점!$BF:$BF,'제품군별 SUMMARY'!$C43,차량대리점!W:W)/1000000</f>
        <v/>
      </c>
      <c r="J43">
        <f>SUMIF(차량대리점!$BF:$BF,'제품군별 SUMMARY'!$C43,차량대리점!Y:Y)</f>
        <v/>
      </c>
      <c r="K43">
        <f>SUMIF(차량대리점!$BF:$BF,'제품군별 SUMMARY'!$C43,차량대리점!Z:Z)/1000000</f>
        <v/>
      </c>
      <c r="L43">
        <f>SUMIF(차량대리점!$BF:$BF,'제품군별 SUMMARY'!$C43,차량대리점!AB:AB)</f>
        <v/>
      </c>
      <c r="M43">
        <f>SUMIF(차량대리점!$BF:$BF,'제품군별 SUMMARY'!$C43,차량대리점!AC:AC)/1000000</f>
        <v/>
      </c>
      <c r="N43">
        <f>SUMIF(차량대리점!$BF:$BF,'제품군별 SUMMARY'!$C43,차량대리점!AE:AE)</f>
        <v/>
      </c>
      <c r="O43">
        <f>SUMIF(차량대리점!$BF:$BF,'제품군별 SUMMARY'!$C43,차량대리점!AF:AF)/1000000</f>
        <v/>
      </c>
      <c r="P43">
        <f>SUMIF(차량대리점!$BF:$BF,'제품군별 SUMMARY'!$C43,차량대리점!AH:AH)</f>
        <v/>
      </c>
      <c r="Q43">
        <f>SUMIF(차량대리점!$BF:$BF,'제품군별 SUMMARY'!$C43,차량대리점!AI:AI)/1000000</f>
        <v/>
      </c>
      <c r="R43">
        <f>SUMIF(차량대리점!$BF:$BF,'제품군별 SUMMARY'!$C43,차량대리점!AK:AK)</f>
        <v/>
      </c>
      <c r="S43">
        <f>SUMIF(차량대리점!$BF:$BF,'제품군별 SUMMARY'!$C43,차량대리점!AL:AL)/1000000</f>
        <v/>
      </c>
      <c r="T43">
        <f>SUMIF(차량대리점!$BF:$BF,'제품군별 SUMMARY'!$C43,차량대리점!AN:AN)</f>
        <v/>
      </c>
      <c r="U43">
        <f>SUMIF(차량대리점!$BF:$BF,'제품군별 SUMMARY'!$C43,차량대리점!AO:AO)/1000000</f>
        <v/>
      </c>
      <c r="V43">
        <f>SUMIF(차량대리점!$BF:$BF,'제품군별 SUMMARY'!$C43,차량대리점!AQ:AQ)</f>
        <v/>
      </c>
      <c r="W43">
        <f>SUMIF(차량대리점!$BF:$BF,'제품군별 SUMMARY'!$C43,차량대리점!AR:AR)/1000000</f>
        <v/>
      </c>
      <c r="X43">
        <f>SUMIF(차량대리점!$BF:$BF,'제품군별 SUMMARY'!$C43,차량대리점!AT:AT)</f>
        <v/>
      </c>
      <c r="Y43">
        <f>SUMIF(차량대리점!$BF:$BF,'제품군별 SUMMARY'!$C43,차량대리점!AU:AU)/1000000</f>
        <v/>
      </c>
      <c r="Z43">
        <f>SUMIF(차량대리점!$BF:$BF,'제품군별 SUMMARY'!$C43,차량대리점!AW:AW)</f>
        <v/>
      </c>
      <c r="AA43">
        <f>SUMIF(차량대리점!$BF:$BF,'제품군별 SUMMARY'!$C43,차량대리점!AX:AX)/1000000</f>
        <v/>
      </c>
    </row>
    <row r="44">
      <c r="C44" t="inlineStr">
        <is>
          <t>PT(CA) 대형</t>
        </is>
      </c>
      <c r="D44">
        <f>SUMIF(차량대리점!$BF:$BF,'제품군별 SUMMARY'!$C44,차량대리점!P:P)</f>
        <v/>
      </c>
      <c r="E44">
        <f>SUMIF(차량대리점!$BF:$BF,'제품군별 SUMMARY'!$C44,차량대리점!Q:Q)/1000000</f>
        <v/>
      </c>
      <c r="F44">
        <f>SUMIF(차량대리점!$BF:$BF,'제품군별 SUMMARY'!$C44,차량대리점!S:S)</f>
        <v/>
      </c>
      <c r="G44">
        <f>SUMIF(차량대리점!$BF:$BF,'제품군별 SUMMARY'!$C44,차량대리점!T:T)/1000000</f>
        <v/>
      </c>
      <c r="H44">
        <f>SUMIF(차량대리점!$BF:$BF,'제품군별 SUMMARY'!$C44,차량대리점!V:V)</f>
        <v/>
      </c>
      <c r="I44">
        <f>SUMIF(차량대리점!$BF:$BF,'제품군별 SUMMARY'!$C44,차량대리점!W:W)/1000000</f>
        <v/>
      </c>
      <c r="J44">
        <f>SUMIF(차량대리점!$BF:$BF,'제품군별 SUMMARY'!$C44,차량대리점!Y:Y)</f>
        <v/>
      </c>
      <c r="K44">
        <f>SUMIF(차량대리점!$BF:$BF,'제품군별 SUMMARY'!$C44,차량대리점!Z:Z)/1000000</f>
        <v/>
      </c>
      <c r="L44">
        <f>SUMIF(차량대리점!$BF:$BF,'제품군별 SUMMARY'!$C44,차량대리점!AB:AB)</f>
        <v/>
      </c>
      <c r="M44">
        <f>SUMIF(차량대리점!$BF:$BF,'제품군별 SUMMARY'!$C44,차량대리점!AC:AC)/1000000</f>
        <v/>
      </c>
      <c r="N44">
        <f>SUMIF(차량대리점!$BF:$BF,'제품군별 SUMMARY'!$C44,차량대리점!AE:AE)</f>
        <v/>
      </c>
      <c r="O44">
        <f>SUMIF(차량대리점!$BF:$BF,'제품군별 SUMMARY'!$C44,차량대리점!AF:AF)/1000000</f>
        <v/>
      </c>
      <c r="P44">
        <f>SUMIF(차량대리점!$BF:$BF,'제품군별 SUMMARY'!$C44,차량대리점!AH:AH)</f>
        <v/>
      </c>
      <c r="Q44">
        <f>SUMIF(차량대리점!$BF:$BF,'제품군별 SUMMARY'!$C44,차량대리점!AI:AI)/1000000</f>
        <v/>
      </c>
      <c r="R44">
        <f>SUMIF(차량대리점!$BF:$BF,'제품군별 SUMMARY'!$C44,차량대리점!AK:AK)</f>
        <v/>
      </c>
      <c r="S44">
        <f>SUMIF(차량대리점!$BF:$BF,'제품군별 SUMMARY'!$C44,차량대리점!AL:AL)/1000000</f>
        <v/>
      </c>
      <c r="T44">
        <f>SUMIF(차량대리점!$BF:$BF,'제품군별 SUMMARY'!$C44,차량대리점!AN:AN)</f>
        <v/>
      </c>
      <c r="U44">
        <f>SUMIF(차량대리점!$BF:$BF,'제품군별 SUMMARY'!$C44,차량대리점!AO:AO)/1000000</f>
        <v/>
      </c>
      <c r="V44">
        <f>SUMIF(차량대리점!$BF:$BF,'제품군별 SUMMARY'!$C44,차량대리점!AQ:AQ)</f>
        <v/>
      </c>
      <c r="W44">
        <f>SUMIF(차량대리점!$BF:$BF,'제품군별 SUMMARY'!$C44,차량대리점!AR:AR)/1000000</f>
        <v/>
      </c>
      <c r="X44">
        <f>SUMIF(차량대리점!$BF:$BF,'제품군별 SUMMARY'!$C44,차량대리점!AT:AT)</f>
        <v/>
      </c>
      <c r="Y44">
        <f>SUMIF(차량대리점!$BF:$BF,'제품군별 SUMMARY'!$C44,차량대리점!AU:AU)/1000000</f>
        <v/>
      </c>
      <c r="Z44">
        <f>SUMIF(차량대리점!$BF:$BF,'제품군별 SUMMARY'!$C44,차량대리점!AW:AW)</f>
        <v/>
      </c>
      <c r="AA44">
        <f>SUMIF(차량대리점!$BF:$BF,'제품군별 SUMMARY'!$C44,차량대리점!AX:AX)/1000000</f>
        <v/>
      </c>
    </row>
    <row r="45">
      <c r="C45" t="inlineStr">
        <is>
          <t>MF 농기계</t>
        </is>
      </c>
      <c r="D45">
        <f>SUMIF(차량대리점!$BF:$BF,'제품군별 SUMMARY'!$C45,차량대리점!P:P)</f>
        <v/>
      </c>
      <c r="E45">
        <f>SUMIF(차량대리점!$BF:$BF,'제품군별 SUMMARY'!$C45,차량대리점!Q:Q)/1000000</f>
        <v/>
      </c>
      <c r="F45">
        <f>SUMIF(차량대리점!$BF:$BF,'제품군별 SUMMARY'!$C45,차량대리점!S:S)</f>
        <v/>
      </c>
      <c r="G45">
        <f>SUMIF(차량대리점!$BF:$BF,'제품군별 SUMMARY'!$C45,차량대리점!T:T)/1000000</f>
        <v/>
      </c>
      <c r="H45">
        <f>SUMIF(차량대리점!$BF:$BF,'제품군별 SUMMARY'!$C45,차량대리점!V:V)</f>
        <v/>
      </c>
      <c r="I45">
        <f>SUMIF(차량대리점!$BF:$BF,'제품군별 SUMMARY'!$C45,차량대리점!W:W)/1000000</f>
        <v/>
      </c>
      <c r="J45">
        <f>SUMIF(차량대리점!$BF:$BF,'제품군별 SUMMARY'!$C45,차량대리점!Y:Y)</f>
        <v/>
      </c>
      <c r="K45">
        <f>SUMIF(차량대리점!$BF:$BF,'제품군별 SUMMARY'!$C45,차량대리점!Z:Z)/1000000</f>
        <v/>
      </c>
      <c r="L45">
        <f>SUMIF(차량대리점!$BF:$BF,'제품군별 SUMMARY'!$C45,차량대리점!AB:AB)</f>
        <v/>
      </c>
      <c r="M45">
        <f>SUMIF(차량대리점!$BF:$BF,'제품군별 SUMMARY'!$C45,차량대리점!AC:AC)/1000000</f>
        <v/>
      </c>
      <c r="N45">
        <f>SUMIF(차량대리점!$BF:$BF,'제품군별 SUMMARY'!$C45,차량대리점!AE:AE)</f>
        <v/>
      </c>
      <c r="O45">
        <f>SUMIF(차량대리점!$BF:$BF,'제품군별 SUMMARY'!$C45,차량대리점!AF:AF)/1000000</f>
        <v/>
      </c>
      <c r="P45">
        <f>SUMIF(차량대리점!$BF:$BF,'제품군별 SUMMARY'!$C45,차량대리점!AH:AH)</f>
        <v/>
      </c>
      <c r="Q45">
        <f>SUMIF(차량대리점!$BF:$BF,'제품군별 SUMMARY'!$C45,차량대리점!AI:AI)/1000000</f>
        <v/>
      </c>
      <c r="R45">
        <f>SUMIF(차량대리점!$BF:$BF,'제품군별 SUMMARY'!$C45,차량대리점!AK:AK)</f>
        <v/>
      </c>
      <c r="S45">
        <f>SUMIF(차량대리점!$BF:$BF,'제품군별 SUMMARY'!$C45,차량대리점!AL:AL)/1000000</f>
        <v/>
      </c>
      <c r="T45">
        <f>SUMIF(차량대리점!$BF:$BF,'제품군별 SUMMARY'!$C45,차량대리점!AN:AN)</f>
        <v/>
      </c>
      <c r="U45">
        <f>SUMIF(차량대리점!$BF:$BF,'제품군별 SUMMARY'!$C45,차량대리점!AO:AO)/1000000</f>
        <v/>
      </c>
      <c r="V45">
        <f>SUMIF(차량대리점!$BF:$BF,'제품군별 SUMMARY'!$C45,차량대리점!AQ:AQ)</f>
        <v/>
      </c>
      <c r="W45">
        <f>SUMIF(차량대리점!$BF:$BF,'제품군별 SUMMARY'!$C45,차량대리점!AR:AR)/1000000</f>
        <v/>
      </c>
      <c r="X45">
        <f>SUMIF(차량대리점!$BF:$BF,'제품군별 SUMMARY'!$C45,차량대리점!AT:AT)</f>
        <v/>
      </c>
      <c r="Y45">
        <f>SUMIF(차량대리점!$BF:$BF,'제품군별 SUMMARY'!$C45,차량대리점!AU:AU)/1000000</f>
        <v/>
      </c>
      <c r="Z45">
        <f>SUMIF(차량대리점!$BF:$BF,'제품군별 SUMMARY'!$C45,차량대리점!AW:AW)</f>
        <v/>
      </c>
      <c r="AA45">
        <f>SUMIF(차량대리점!$BF:$BF,'제품군별 SUMMARY'!$C45,차량대리점!AX:AX)/1000000</f>
        <v/>
      </c>
    </row>
    <row r="46">
      <c r="C46" t="inlineStr">
        <is>
          <t>GB 농기계</t>
        </is>
      </c>
      <c r="D46">
        <f>SUMIF(차량대리점!$BF:$BF,'제품군별 SUMMARY'!$C46,차량대리점!P:P)</f>
        <v/>
      </c>
      <c r="E46">
        <f>SUMIF(차량대리점!$BF:$BF,'제품군별 SUMMARY'!$C46,차량대리점!Q:Q)/1000000</f>
        <v/>
      </c>
      <c r="F46">
        <f>SUMIF(차량대리점!$BF:$BF,'제품군별 SUMMARY'!$C46,차량대리점!S:S)</f>
        <v/>
      </c>
      <c r="G46">
        <f>SUMIF(차량대리점!$BF:$BF,'제품군별 SUMMARY'!$C46,차량대리점!T:T)/1000000</f>
        <v/>
      </c>
      <c r="H46">
        <f>SUMIF(차량대리점!$BF:$BF,'제품군별 SUMMARY'!$C46,차량대리점!V:V)</f>
        <v/>
      </c>
      <c r="I46">
        <f>SUMIF(차량대리점!$BF:$BF,'제품군별 SUMMARY'!$C46,차량대리점!W:W)/1000000</f>
        <v/>
      </c>
      <c r="J46">
        <f>SUMIF(차량대리점!$BF:$BF,'제품군별 SUMMARY'!$C46,차량대리점!Y:Y)</f>
        <v/>
      </c>
      <c r="K46">
        <f>SUMIF(차량대리점!$BF:$BF,'제품군별 SUMMARY'!$C46,차량대리점!Z:Z)/1000000</f>
        <v/>
      </c>
      <c r="L46">
        <f>SUMIF(차량대리점!$BF:$BF,'제품군별 SUMMARY'!$C46,차량대리점!AB:AB)</f>
        <v/>
      </c>
      <c r="M46">
        <f>SUMIF(차량대리점!$BF:$BF,'제품군별 SUMMARY'!$C46,차량대리점!AC:AC)/1000000</f>
        <v/>
      </c>
      <c r="N46">
        <f>SUMIF(차량대리점!$BF:$BF,'제품군별 SUMMARY'!$C46,차량대리점!AE:AE)</f>
        <v/>
      </c>
      <c r="O46">
        <f>SUMIF(차량대리점!$BF:$BF,'제품군별 SUMMARY'!$C46,차량대리점!AF:AF)/1000000</f>
        <v/>
      </c>
      <c r="P46">
        <f>SUMIF(차량대리점!$BF:$BF,'제품군별 SUMMARY'!$C46,차량대리점!AH:AH)</f>
        <v/>
      </c>
      <c r="Q46">
        <f>SUMIF(차량대리점!$BF:$BF,'제품군별 SUMMARY'!$C46,차량대리점!AI:AI)/1000000</f>
        <v/>
      </c>
      <c r="R46">
        <f>SUMIF(차량대리점!$BF:$BF,'제품군별 SUMMARY'!$C46,차량대리점!AK:AK)</f>
        <v/>
      </c>
      <c r="S46">
        <f>SUMIF(차량대리점!$BF:$BF,'제품군별 SUMMARY'!$C46,차량대리점!AL:AL)/1000000</f>
        <v/>
      </c>
      <c r="T46">
        <f>SUMIF(차량대리점!$BF:$BF,'제품군별 SUMMARY'!$C46,차량대리점!AN:AN)</f>
        <v/>
      </c>
      <c r="U46">
        <f>SUMIF(차량대리점!$BF:$BF,'제품군별 SUMMARY'!$C46,차량대리점!AO:AO)/1000000</f>
        <v/>
      </c>
      <c r="V46">
        <f>SUMIF(차량대리점!$BF:$BF,'제품군별 SUMMARY'!$C46,차량대리점!AQ:AQ)</f>
        <v/>
      </c>
      <c r="W46">
        <f>SUMIF(차량대리점!$BF:$BF,'제품군별 SUMMARY'!$C46,차량대리점!AR:AR)/1000000</f>
        <v/>
      </c>
      <c r="X46">
        <f>SUMIF(차량대리점!$BF:$BF,'제품군별 SUMMARY'!$C46,차량대리점!AT:AT)</f>
        <v/>
      </c>
      <c r="Y46">
        <f>SUMIF(차량대리점!$BF:$BF,'제품군별 SUMMARY'!$C46,차량대리점!AU:AU)/1000000</f>
        <v/>
      </c>
      <c r="Z46">
        <f>SUMIF(차량대리점!$BF:$BF,'제품군별 SUMMARY'!$C46,차량대리점!AW:AW)</f>
        <v/>
      </c>
      <c r="AA46">
        <f>SUMIF(차량대리점!$BF:$BF,'제품군별 SUMMARY'!$C46,차량대리점!AX:AX)/1000000</f>
        <v/>
      </c>
    </row>
    <row r="47">
      <c r="C47" t="inlineStr">
        <is>
          <t>FB</t>
        </is>
      </c>
      <c r="D47">
        <f>SUMIF(차량대리점!$BF:$BF,'제품군별 SUMMARY'!$C47,차량대리점!P:P)</f>
        <v/>
      </c>
      <c r="E47">
        <f>SUMIF(차량대리점!$BF:$BF,'제품군별 SUMMARY'!$C47,차량대리점!Q:Q)/1000000</f>
        <v/>
      </c>
      <c r="F47">
        <f>SUMIF(차량대리점!$BF:$BF,'제품군별 SUMMARY'!$C47,차량대리점!S:S)</f>
        <v/>
      </c>
      <c r="G47">
        <f>SUMIF(차량대리점!$BF:$BF,'제품군별 SUMMARY'!$C47,차량대리점!T:T)/1000000</f>
        <v/>
      </c>
      <c r="H47">
        <f>SUMIF(차량대리점!$BF:$BF,'제품군별 SUMMARY'!$C47,차량대리점!V:V)</f>
        <v/>
      </c>
      <c r="I47">
        <f>SUMIF(차량대리점!$BF:$BF,'제품군별 SUMMARY'!$C47,차량대리점!W:W)/1000000</f>
        <v/>
      </c>
      <c r="J47">
        <f>SUMIF(차량대리점!$BF:$BF,'제품군별 SUMMARY'!$C47,차량대리점!Y:Y)</f>
        <v/>
      </c>
      <c r="K47">
        <f>SUMIF(차량대리점!$BF:$BF,'제품군별 SUMMARY'!$C47,차량대리점!Z:Z)/1000000</f>
        <v/>
      </c>
      <c r="L47">
        <f>SUMIF(차량대리점!$BF:$BF,'제품군별 SUMMARY'!$C47,차량대리점!AB:AB)</f>
        <v/>
      </c>
      <c r="M47">
        <f>SUMIF(차량대리점!$BF:$BF,'제품군별 SUMMARY'!$C47,차량대리점!AC:AC)/1000000</f>
        <v/>
      </c>
      <c r="N47">
        <f>SUMIF(차량대리점!$BF:$BF,'제품군별 SUMMARY'!$C47,차량대리점!AE:AE)</f>
        <v/>
      </c>
      <c r="O47">
        <f>SUMIF(차량대리점!$BF:$BF,'제품군별 SUMMARY'!$C47,차량대리점!AF:AF)/1000000</f>
        <v/>
      </c>
      <c r="P47">
        <f>SUMIF(차량대리점!$BF:$BF,'제품군별 SUMMARY'!$C47,차량대리점!AH:AH)</f>
        <v/>
      </c>
      <c r="Q47">
        <f>SUMIF(차량대리점!$BF:$BF,'제품군별 SUMMARY'!$C47,차량대리점!AI:AI)/1000000</f>
        <v/>
      </c>
      <c r="R47">
        <f>SUMIF(차량대리점!$BF:$BF,'제품군별 SUMMARY'!$C47,차량대리점!AK:AK)</f>
        <v/>
      </c>
      <c r="S47">
        <f>SUMIF(차량대리점!$BF:$BF,'제품군별 SUMMARY'!$C47,차량대리점!AL:AL)/1000000</f>
        <v/>
      </c>
      <c r="T47">
        <f>SUMIF(차량대리점!$BF:$BF,'제품군별 SUMMARY'!$C47,차량대리점!AN:AN)</f>
        <v/>
      </c>
      <c r="U47">
        <f>SUMIF(차량대리점!$BF:$BF,'제품군별 SUMMARY'!$C47,차량대리점!AO:AO)/1000000</f>
        <v/>
      </c>
      <c r="V47">
        <f>SUMIF(차량대리점!$BF:$BF,'제품군별 SUMMARY'!$C47,차량대리점!AQ:AQ)</f>
        <v/>
      </c>
      <c r="W47">
        <f>SUMIF(차량대리점!$BF:$BF,'제품군별 SUMMARY'!$C47,차량대리점!AR:AR)/1000000</f>
        <v/>
      </c>
      <c r="X47">
        <f>SUMIF(차량대리점!$BF:$BF,'제품군별 SUMMARY'!$C47,차량대리점!AT:AT)</f>
        <v/>
      </c>
      <c r="Y47">
        <f>SUMIF(차량대리점!$BF:$BF,'제품군별 SUMMARY'!$C47,차량대리점!AU:AU)/1000000</f>
        <v/>
      </c>
      <c r="Z47">
        <f>SUMIF(차량대리점!$BF:$BF,'제품군별 SUMMARY'!$C47,차량대리점!AW:AW)</f>
        <v/>
      </c>
      <c r="AA47">
        <f>SUMIF(차량대리점!$BF:$BF,'제품군별 SUMMARY'!$C47,차량대리점!AX:AX)/1000000</f>
        <v/>
      </c>
    </row>
    <row r="48">
      <c r="C48" t="inlineStr">
        <is>
          <t>FS</t>
        </is>
      </c>
      <c r="D48">
        <f>SUMIF(차량대리점!$BF:$BF,'제품군별 SUMMARY'!$C48,차량대리점!P:P)</f>
        <v/>
      </c>
      <c r="E48">
        <f>SUMIF(차량대리점!$BF:$BF,'제품군별 SUMMARY'!$C48,차량대리점!Q:Q)/1000000</f>
        <v/>
      </c>
      <c r="F48">
        <f>SUMIF(차량대리점!$BF:$BF,'제품군별 SUMMARY'!$C48,차량대리점!S:S)</f>
        <v/>
      </c>
      <c r="G48">
        <f>SUMIF(차량대리점!$BF:$BF,'제품군별 SUMMARY'!$C48,차량대리점!T:T)/1000000</f>
        <v/>
      </c>
      <c r="H48">
        <f>SUMIF(차량대리점!$BF:$BF,'제품군별 SUMMARY'!$C48,차량대리점!V:V)</f>
        <v/>
      </c>
      <c r="I48">
        <f>SUMIF(차량대리점!$BF:$BF,'제품군별 SUMMARY'!$C48,차량대리점!W:W)/1000000</f>
        <v/>
      </c>
      <c r="J48">
        <f>SUMIF(차량대리점!$BF:$BF,'제품군별 SUMMARY'!$C48,차량대리점!Y:Y)</f>
        <v/>
      </c>
      <c r="K48">
        <f>SUMIF(차량대리점!$BF:$BF,'제품군별 SUMMARY'!$C48,차량대리점!Z:Z)/1000000</f>
        <v/>
      </c>
      <c r="L48">
        <f>SUMIF(차량대리점!$BF:$BF,'제품군별 SUMMARY'!$C48,차량대리점!AB:AB)</f>
        <v/>
      </c>
      <c r="M48">
        <f>SUMIF(차량대리점!$BF:$BF,'제품군별 SUMMARY'!$C48,차량대리점!AC:AC)/1000000</f>
        <v/>
      </c>
      <c r="N48">
        <f>SUMIF(차량대리점!$BF:$BF,'제품군별 SUMMARY'!$C48,차량대리점!AE:AE)</f>
        <v/>
      </c>
      <c r="O48">
        <f>SUMIF(차량대리점!$BF:$BF,'제품군별 SUMMARY'!$C48,차량대리점!AF:AF)/1000000</f>
        <v/>
      </c>
      <c r="P48">
        <f>SUMIF(차량대리점!$BF:$BF,'제품군별 SUMMARY'!$C48,차량대리점!AH:AH)</f>
        <v/>
      </c>
      <c r="Q48">
        <f>SUMIF(차량대리점!$BF:$BF,'제품군별 SUMMARY'!$C48,차량대리점!AI:AI)/1000000</f>
        <v/>
      </c>
      <c r="R48">
        <f>SUMIF(차량대리점!$BF:$BF,'제품군별 SUMMARY'!$C48,차량대리점!AK:AK)</f>
        <v/>
      </c>
      <c r="S48">
        <f>SUMIF(차량대리점!$BF:$BF,'제품군별 SUMMARY'!$C48,차량대리점!AL:AL)/1000000</f>
        <v/>
      </c>
      <c r="T48">
        <f>SUMIF(차량대리점!$BF:$BF,'제품군별 SUMMARY'!$C48,차량대리점!AN:AN)</f>
        <v/>
      </c>
      <c r="U48">
        <f>SUMIF(차량대리점!$BF:$BF,'제품군별 SUMMARY'!$C48,차량대리점!AO:AO)/1000000</f>
        <v/>
      </c>
      <c r="V48">
        <f>SUMIF(차량대리점!$BF:$BF,'제품군별 SUMMARY'!$C48,차량대리점!AQ:AQ)</f>
        <v/>
      </c>
      <c r="W48">
        <f>SUMIF(차량대리점!$BF:$BF,'제품군별 SUMMARY'!$C48,차량대리점!AR:AR)/1000000</f>
        <v/>
      </c>
      <c r="X48">
        <f>SUMIF(차량대리점!$BF:$BF,'제품군별 SUMMARY'!$C48,차량대리점!AT:AT)</f>
        <v/>
      </c>
      <c r="Y48">
        <f>SUMIF(차량대리점!$BF:$BF,'제품군별 SUMMARY'!$C48,차량대리점!AU:AU)/1000000</f>
        <v/>
      </c>
      <c r="Z48">
        <f>SUMIF(차량대리점!$BF:$BF,'제품군별 SUMMARY'!$C48,차량대리점!AW:AW)</f>
        <v/>
      </c>
      <c r="AA48">
        <f>SUMIF(차량대리점!$BF:$BF,'제품군별 SUMMARY'!$C48,차량대리점!AX:AX)/1000000</f>
        <v/>
      </c>
    </row>
    <row r="49">
      <c r="C49" t="inlineStr">
        <is>
          <t>GB 택시 EXP</t>
        </is>
      </c>
      <c r="D49">
        <f>SUMIF(차량대리점!$BF:$BF,'제품군별 SUMMARY'!$C49,차량대리점!P:P)</f>
        <v/>
      </c>
      <c r="E49">
        <f>SUMIF(차량대리점!$BF:$BF,'제품군별 SUMMARY'!$C49,차량대리점!Q:Q)/1000000</f>
        <v/>
      </c>
      <c r="F49">
        <f>SUMIF(차량대리점!$BF:$BF,'제품군별 SUMMARY'!$C49,차량대리점!S:S)</f>
        <v/>
      </c>
      <c r="G49">
        <f>SUMIF(차량대리점!$BF:$BF,'제품군별 SUMMARY'!$C49,차량대리점!T:T)/1000000</f>
        <v/>
      </c>
      <c r="H49">
        <f>SUMIF(차량대리점!$BF:$BF,'제품군별 SUMMARY'!$C49,차량대리점!V:V)</f>
        <v/>
      </c>
      <c r="I49">
        <f>SUMIF(차량대리점!$BF:$BF,'제품군별 SUMMARY'!$C49,차량대리점!W:W)/1000000</f>
        <v/>
      </c>
      <c r="J49">
        <f>SUMIF(차량대리점!$BF:$BF,'제품군별 SUMMARY'!$C49,차량대리점!Y:Y)</f>
        <v/>
      </c>
      <c r="K49">
        <f>SUMIF(차량대리점!$BF:$BF,'제품군별 SUMMARY'!$C49,차량대리점!Z:Z)/1000000</f>
        <v/>
      </c>
      <c r="L49">
        <f>SUMIF(차량대리점!$BF:$BF,'제품군별 SUMMARY'!$C49,차량대리점!AB:AB)</f>
        <v/>
      </c>
      <c r="M49">
        <f>SUMIF(차량대리점!$BF:$BF,'제품군별 SUMMARY'!$C49,차량대리점!AC:AC)/1000000</f>
        <v/>
      </c>
      <c r="N49">
        <f>SUMIF(차량대리점!$BF:$BF,'제품군별 SUMMARY'!$C49,차량대리점!AE:AE)</f>
        <v/>
      </c>
      <c r="O49">
        <f>SUMIF(차량대리점!$BF:$BF,'제품군별 SUMMARY'!$C49,차량대리점!AF:AF)/1000000</f>
        <v/>
      </c>
      <c r="P49">
        <f>SUMIF(차량대리점!$BF:$BF,'제품군별 SUMMARY'!$C49,차량대리점!AH:AH)</f>
        <v/>
      </c>
      <c r="Q49">
        <f>SUMIF(차량대리점!$BF:$BF,'제품군별 SUMMARY'!$C49,차량대리점!AI:AI)/1000000</f>
        <v/>
      </c>
      <c r="R49">
        <f>SUMIF(차량대리점!$BF:$BF,'제품군별 SUMMARY'!$C49,차량대리점!AK:AK)</f>
        <v/>
      </c>
      <c r="S49">
        <f>SUMIF(차량대리점!$BF:$BF,'제품군별 SUMMARY'!$C49,차량대리점!AL:AL)/1000000</f>
        <v/>
      </c>
      <c r="T49">
        <f>SUMIF(차량대리점!$BF:$BF,'제품군별 SUMMARY'!$C49,차량대리점!AN:AN)</f>
        <v/>
      </c>
      <c r="U49">
        <f>SUMIF(차량대리점!$BF:$BF,'제품군별 SUMMARY'!$C49,차량대리점!AO:AO)/1000000</f>
        <v/>
      </c>
      <c r="V49">
        <f>SUMIF(차량대리점!$BF:$BF,'제품군별 SUMMARY'!$C49,차량대리점!AQ:AQ)</f>
        <v/>
      </c>
      <c r="W49">
        <f>SUMIF(차량대리점!$BF:$BF,'제품군별 SUMMARY'!$C49,차량대리점!AR:AR)/1000000</f>
        <v/>
      </c>
      <c r="X49">
        <f>SUMIF(차량대리점!$BF:$BF,'제품군별 SUMMARY'!$C49,차량대리점!AT:AT)</f>
        <v/>
      </c>
      <c r="Y49">
        <f>SUMIF(차량대리점!$BF:$BF,'제품군별 SUMMARY'!$C49,차량대리점!AU:AU)/1000000</f>
        <v/>
      </c>
      <c r="Z49">
        <f>SUMIF(차량대리점!$BF:$BF,'제품군별 SUMMARY'!$C49,차량대리점!AW:AW)</f>
        <v/>
      </c>
      <c r="AA49">
        <f>SUMIF(차량대리점!$BF:$BF,'제품군별 SUMMARY'!$C49,차량대리점!AX:AX)/1000000</f>
        <v/>
      </c>
    </row>
    <row r="50">
      <c r="C50" t="inlineStr">
        <is>
          <t>MF 택시 EXP</t>
        </is>
      </c>
      <c r="D50">
        <f>SUMIF(차량대리점!$BF:$BF,'제품군별 SUMMARY'!$C50,차량대리점!P:P)</f>
        <v/>
      </c>
      <c r="E50">
        <f>SUMIF(차량대리점!$BF:$BF,'제품군별 SUMMARY'!$C50,차량대리점!Q:Q)/1000000</f>
        <v/>
      </c>
      <c r="F50">
        <f>SUMIF(차량대리점!$BF:$BF,'제품군별 SUMMARY'!$C50,차량대리점!S:S)</f>
        <v/>
      </c>
      <c r="G50">
        <f>SUMIF(차량대리점!$BF:$BF,'제품군별 SUMMARY'!$C50,차량대리점!T:T)/1000000</f>
        <v/>
      </c>
      <c r="H50">
        <f>SUMIF(차량대리점!$BF:$BF,'제품군별 SUMMARY'!$C50,차량대리점!V:V)</f>
        <v/>
      </c>
      <c r="I50">
        <f>SUMIF(차량대리점!$BF:$BF,'제품군별 SUMMARY'!$C50,차량대리점!W:W)/1000000</f>
        <v/>
      </c>
      <c r="J50">
        <f>SUMIF(차량대리점!$BF:$BF,'제품군별 SUMMARY'!$C50,차량대리점!Y:Y)</f>
        <v/>
      </c>
      <c r="K50">
        <f>SUMIF(차량대리점!$BF:$BF,'제품군별 SUMMARY'!$C50,차량대리점!Z:Z)/1000000</f>
        <v/>
      </c>
      <c r="L50">
        <f>SUMIF(차량대리점!$BF:$BF,'제품군별 SUMMARY'!$C50,차량대리점!AB:AB)</f>
        <v/>
      </c>
      <c r="M50">
        <f>SUMIF(차량대리점!$BF:$BF,'제품군별 SUMMARY'!$C50,차량대리점!AC:AC)/1000000</f>
        <v/>
      </c>
      <c r="N50">
        <f>SUMIF(차량대리점!$BF:$BF,'제품군별 SUMMARY'!$C50,차량대리점!AE:AE)</f>
        <v/>
      </c>
      <c r="O50">
        <f>SUMIF(차량대리점!$BF:$BF,'제품군별 SUMMARY'!$C50,차량대리점!AF:AF)/1000000</f>
        <v/>
      </c>
      <c r="P50">
        <f>SUMIF(차량대리점!$BF:$BF,'제품군별 SUMMARY'!$C50,차량대리점!AH:AH)</f>
        <v/>
      </c>
      <c r="Q50">
        <f>SUMIF(차량대리점!$BF:$BF,'제품군별 SUMMARY'!$C50,차량대리점!AI:AI)/1000000</f>
        <v/>
      </c>
      <c r="R50">
        <f>SUMIF(차량대리점!$BF:$BF,'제품군별 SUMMARY'!$C50,차량대리점!AK:AK)</f>
        <v/>
      </c>
      <c r="S50">
        <f>SUMIF(차량대리점!$BF:$BF,'제품군별 SUMMARY'!$C50,차량대리점!AL:AL)/1000000</f>
        <v/>
      </c>
      <c r="T50">
        <f>SUMIF(차량대리점!$BF:$BF,'제품군별 SUMMARY'!$C50,차량대리점!AN:AN)</f>
        <v/>
      </c>
      <c r="U50">
        <f>SUMIF(차량대리점!$BF:$BF,'제품군별 SUMMARY'!$C50,차량대리점!AO:AO)/1000000</f>
        <v/>
      </c>
      <c r="V50">
        <f>SUMIF(차량대리점!$BF:$BF,'제품군별 SUMMARY'!$C50,차량대리점!AQ:AQ)</f>
        <v/>
      </c>
      <c r="W50">
        <f>SUMIF(차량대리점!$BF:$BF,'제품군별 SUMMARY'!$C50,차량대리점!AR:AR)/1000000</f>
        <v/>
      </c>
      <c r="X50">
        <f>SUMIF(차량대리점!$BF:$BF,'제품군별 SUMMARY'!$C50,차량대리점!AT:AT)</f>
        <v/>
      </c>
      <c r="Y50">
        <f>SUMIF(차량대리점!$BF:$BF,'제품군별 SUMMARY'!$C50,차량대리점!AU:AU)/1000000</f>
        <v/>
      </c>
      <c r="Z50">
        <f>SUMIF(차량대리점!$BF:$BF,'제품군별 SUMMARY'!$C50,차량대리점!AW:AW)</f>
        <v/>
      </c>
      <c r="AA50">
        <f>SUMIF(차량대리점!$BF:$BF,'제품군별 SUMMARY'!$C50,차량대리점!AX:AX)/1000000</f>
        <v/>
      </c>
    </row>
    <row r="51">
      <c r="C51" t="inlineStr">
        <is>
          <t>이륜용 상품</t>
        </is>
      </c>
      <c r="D51">
        <f>SUMIF(차량대리점!$BF:$BF,'제품군별 SUMMARY'!$C51,차량대리점!P:P)</f>
        <v/>
      </c>
      <c r="E51">
        <f>SUMIF(차량대리점!$BF:$BF,'제품군별 SUMMARY'!$C51,차량대리점!Q:Q)/1000000</f>
        <v/>
      </c>
      <c r="F51">
        <f>SUMIF(차량대리점!$BF:$BF,'제품군별 SUMMARY'!$C51,차량대리점!S:S)</f>
        <v/>
      </c>
      <c r="G51">
        <f>SUMIF(차량대리점!$BF:$BF,'제품군별 SUMMARY'!$C51,차량대리점!T:T)/1000000</f>
        <v/>
      </c>
      <c r="H51">
        <f>SUMIF(차량대리점!$BF:$BF,'제품군별 SUMMARY'!$C51,차량대리점!V:V)</f>
        <v/>
      </c>
      <c r="I51">
        <f>SUMIF(차량대리점!$BF:$BF,'제품군별 SUMMARY'!$C51,차량대리점!W:W)/1000000</f>
        <v/>
      </c>
      <c r="J51">
        <f>SUMIF(차량대리점!$BF:$BF,'제품군별 SUMMARY'!$C51,차량대리점!Y:Y)</f>
        <v/>
      </c>
      <c r="K51">
        <f>SUMIF(차량대리점!$BF:$BF,'제품군별 SUMMARY'!$C51,차량대리점!Z:Z)/1000000</f>
        <v/>
      </c>
      <c r="L51">
        <f>SUMIF(차량대리점!$BF:$BF,'제품군별 SUMMARY'!$C51,차량대리점!AB:AB)</f>
        <v/>
      </c>
      <c r="M51">
        <f>SUMIF(차량대리점!$BF:$BF,'제품군별 SUMMARY'!$C51,차량대리점!AC:AC)/1000000</f>
        <v/>
      </c>
      <c r="N51">
        <f>SUMIF(차량대리점!$BF:$BF,'제품군별 SUMMARY'!$C51,차량대리점!AE:AE)</f>
        <v/>
      </c>
      <c r="O51">
        <f>SUMIF(차량대리점!$BF:$BF,'제품군별 SUMMARY'!$C51,차량대리점!AF:AF)/1000000</f>
        <v/>
      </c>
      <c r="P51">
        <f>SUMIF(차량대리점!$BF:$BF,'제품군별 SUMMARY'!$C51,차량대리점!AH:AH)</f>
        <v/>
      </c>
      <c r="Q51">
        <f>SUMIF(차량대리점!$BF:$BF,'제품군별 SUMMARY'!$C51,차량대리점!AI:AI)/1000000</f>
        <v/>
      </c>
      <c r="R51">
        <f>SUMIF(차량대리점!$BF:$BF,'제품군별 SUMMARY'!$C51,차량대리점!AK:AK)</f>
        <v/>
      </c>
      <c r="S51">
        <f>SUMIF(차량대리점!$BF:$BF,'제품군별 SUMMARY'!$C51,차량대리점!AL:AL)/1000000</f>
        <v/>
      </c>
      <c r="T51">
        <f>SUMIF(차량대리점!$BF:$BF,'제품군별 SUMMARY'!$C51,차량대리점!AN:AN)</f>
        <v/>
      </c>
      <c r="U51">
        <f>SUMIF(차량대리점!$BF:$BF,'제품군별 SUMMARY'!$C51,차량대리점!AO:AO)/1000000</f>
        <v/>
      </c>
      <c r="V51">
        <f>SUMIF(차량대리점!$BF:$BF,'제품군별 SUMMARY'!$C51,차량대리점!AQ:AQ)</f>
        <v/>
      </c>
      <c r="W51">
        <f>SUMIF(차량대리점!$BF:$BF,'제품군별 SUMMARY'!$C51,차량대리점!AR:AR)/1000000</f>
        <v/>
      </c>
      <c r="X51">
        <f>SUMIF(차량대리점!$BF:$BF,'제품군별 SUMMARY'!$C51,차량대리점!AT:AT)</f>
        <v/>
      </c>
      <c r="Y51">
        <f>SUMIF(차량대리점!$BF:$BF,'제품군별 SUMMARY'!$C51,차량대리점!AU:AU)/1000000</f>
        <v/>
      </c>
      <c r="Z51">
        <f>SUMIF(차량대리점!$BF:$BF,'제품군별 SUMMARY'!$C51,차량대리점!AW:AW)</f>
        <v/>
      </c>
      <c r="AA51">
        <f>SUMIF(차량대리점!$BF:$BF,'제품군별 SUMMARY'!$C51,차량대리점!AX:AX)/1000000</f>
        <v/>
      </c>
    </row>
    <row r="52">
      <c r="C52" t="inlineStr">
        <is>
          <t>차량용 소형 EXP</t>
        </is>
      </c>
      <c r="D52">
        <f>SUMIF(차량대리점!$BF:$BF,'제품군별 SUMMARY'!$C52,차량대리점!P:P)</f>
        <v/>
      </c>
      <c r="E52">
        <f>SUMIF(차량대리점!$BF:$BF,'제품군별 SUMMARY'!$C52,차량대리점!Q:Q)/1000000</f>
        <v/>
      </c>
      <c r="F52">
        <f>SUMIF(차량대리점!$BF:$BF,'제품군별 SUMMARY'!$C52,차량대리점!S:S)</f>
        <v/>
      </c>
      <c r="G52">
        <f>SUMIF(차량대리점!$BF:$BF,'제품군별 SUMMARY'!$C52,차량대리점!T:T)/1000000</f>
        <v/>
      </c>
      <c r="H52">
        <f>SUMIF(차량대리점!$BF:$BF,'제품군별 SUMMARY'!$C52,차량대리점!V:V)</f>
        <v/>
      </c>
      <c r="I52">
        <f>SUMIF(차량대리점!$BF:$BF,'제품군별 SUMMARY'!$C52,차량대리점!W:W)/1000000</f>
        <v/>
      </c>
      <c r="J52">
        <f>SUMIF(차량대리점!$BF:$BF,'제품군별 SUMMARY'!$C52,차량대리점!Y:Y)</f>
        <v/>
      </c>
      <c r="K52">
        <f>SUMIF(차량대리점!$BF:$BF,'제품군별 SUMMARY'!$C52,차량대리점!Z:Z)/1000000</f>
        <v/>
      </c>
      <c r="L52">
        <f>SUMIF(차량대리점!$BF:$BF,'제품군별 SUMMARY'!$C52,차량대리점!AB:AB)</f>
        <v/>
      </c>
      <c r="M52">
        <f>SUMIF(차량대리점!$BF:$BF,'제품군별 SUMMARY'!$C52,차량대리점!AC:AC)/1000000</f>
        <v/>
      </c>
      <c r="N52">
        <f>SUMIF(차량대리점!$BF:$BF,'제품군별 SUMMARY'!$C52,차량대리점!AE:AE)</f>
        <v/>
      </c>
      <c r="O52">
        <f>SUMIF(차량대리점!$BF:$BF,'제품군별 SUMMARY'!$C52,차량대리점!AF:AF)/1000000</f>
        <v/>
      </c>
      <c r="P52">
        <f>SUMIF(차량대리점!$BF:$BF,'제품군별 SUMMARY'!$C52,차량대리점!AH:AH)</f>
        <v/>
      </c>
      <c r="Q52">
        <f>SUMIF(차량대리점!$BF:$BF,'제품군별 SUMMARY'!$C52,차량대리점!AI:AI)/1000000</f>
        <v/>
      </c>
      <c r="R52">
        <f>SUMIF(차량대리점!$BF:$BF,'제품군별 SUMMARY'!$C52,차량대리점!AK:AK)</f>
        <v/>
      </c>
      <c r="S52">
        <f>SUMIF(차량대리점!$BF:$BF,'제품군별 SUMMARY'!$C52,차량대리점!AL:AL)/1000000</f>
        <v/>
      </c>
      <c r="T52">
        <f>SUMIF(차량대리점!$BF:$BF,'제품군별 SUMMARY'!$C52,차량대리점!AN:AN)</f>
        <v/>
      </c>
      <c r="U52">
        <f>SUMIF(차량대리점!$BF:$BF,'제품군별 SUMMARY'!$C52,차량대리점!AO:AO)/1000000</f>
        <v/>
      </c>
      <c r="V52">
        <f>SUMIF(차량대리점!$BF:$BF,'제품군별 SUMMARY'!$C52,차량대리점!AQ:AQ)</f>
        <v/>
      </c>
      <c r="W52">
        <f>SUMIF(차량대리점!$BF:$BF,'제품군별 SUMMARY'!$C52,차량대리점!AR:AR)/1000000</f>
        <v/>
      </c>
      <c r="X52">
        <f>SUMIF(차량대리점!$BF:$BF,'제품군별 SUMMARY'!$C52,차량대리점!AT:AT)</f>
        <v/>
      </c>
      <c r="Y52">
        <f>SUMIF(차량대리점!$BF:$BF,'제품군별 SUMMARY'!$C52,차량대리점!AU:AU)/1000000</f>
        <v/>
      </c>
      <c r="Z52">
        <f>SUMIF(차량대리점!$BF:$BF,'제품군별 SUMMARY'!$C52,차량대리점!AW:AW)</f>
        <v/>
      </c>
      <c r="AA52">
        <f>SUMIF(차량대리점!$BF:$BF,'제품군별 SUMMARY'!$C52,차량대리점!AX:AX)/1000000</f>
        <v/>
      </c>
    </row>
    <row r="53">
      <c r="C53" t="inlineStr">
        <is>
          <t>차량용 중형 EXP</t>
        </is>
      </c>
      <c r="D53">
        <f>SUMIF(차량대리점!$BF:$BF,'제품군별 SUMMARY'!$C53,차량대리점!P:P)</f>
        <v/>
      </c>
      <c r="E53">
        <f>SUMIF(차량대리점!$BF:$BF,'제품군별 SUMMARY'!$C53,차량대리점!Q:Q)/1000000</f>
        <v/>
      </c>
      <c r="F53">
        <f>SUMIF(차량대리점!$BF:$BF,'제품군별 SUMMARY'!$C53,차량대리점!S:S)</f>
        <v/>
      </c>
      <c r="G53">
        <f>SUMIF(차량대리점!$BF:$BF,'제품군별 SUMMARY'!$C53,차량대리점!T:T)/1000000</f>
        <v/>
      </c>
      <c r="H53">
        <f>SUMIF(차량대리점!$BF:$BF,'제품군별 SUMMARY'!$C53,차량대리점!V:V)</f>
        <v/>
      </c>
      <c r="I53">
        <f>SUMIF(차량대리점!$BF:$BF,'제품군별 SUMMARY'!$C53,차량대리점!W:W)/1000000</f>
        <v/>
      </c>
      <c r="J53">
        <f>SUMIF(차량대리점!$BF:$BF,'제품군별 SUMMARY'!$C53,차량대리점!Y:Y)</f>
        <v/>
      </c>
      <c r="K53">
        <f>SUMIF(차량대리점!$BF:$BF,'제품군별 SUMMARY'!$C53,차량대리점!Z:Z)/1000000</f>
        <v/>
      </c>
      <c r="L53">
        <f>SUMIF(차량대리점!$BF:$BF,'제품군별 SUMMARY'!$C53,차량대리점!AB:AB)</f>
        <v/>
      </c>
      <c r="M53">
        <f>SUMIF(차량대리점!$BF:$BF,'제품군별 SUMMARY'!$C53,차량대리점!AC:AC)/1000000</f>
        <v/>
      </c>
      <c r="N53">
        <f>SUMIF(차량대리점!$BF:$BF,'제품군별 SUMMARY'!$C53,차량대리점!AE:AE)</f>
        <v/>
      </c>
      <c r="O53">
        <f>SUMIF(차량대리점!$BF:$BF,'제품군별 SUMMARY'!$C53,차량대리점!AF:AF)/1000000</f>
        <v/>
      </c>
      <c r="P53">
        <f>SUMIF(차량대리점!$BF:$BF,'제품군별 SUMMARY'!$C53,차량대리점!AH:AH)</f>
        <v/>
      </c>
      <c r="Q53">
        <f>SUMIF(차량대리점!$BF:$BF,'제품군별 SUMMARY'!$C53,차량대리점!AI:AI)/1000000</f>
        <v/>
      </c>
      <c r="R53">
        <f>SUMIF(차량대리점!$BF:$BF,'제품군별 SUMMARY'!$C53,차량대리점!AK:AK)</f>
        <v/>
      </c>
      <c r="S53">
        <f>SUMIF(차량대리점!$BF:$BF,'제품군별 SUMMARY'!$C53,차량대리점!AL:AL)/1000000</f>
        <v/>
      </c>
      <c r="T53">
        <f>SUMIF(차량대리점!$BF:$BF,'제품군별 SUMMARY'!$C53,차량대리점!AN:AN)</f>
        <v/>
      </c>
      <c r="U53">
        <f>SUMIF(차량대리점!$BF:$BF,'제품군별 SUMMARY'!$C53,차량대리점!AO:AO)/1000000</f>
        <v/>
      </c>
      <c r="V53">
        <f>SUMIF(차량대리점!$BF:$BF,'제품군별 SUMMARY'!$C53,차량대리점!AQ:AQ)</f>
        <v/>
      </c>
      <c r="W53">
        <f>SUMIF(차량대리점!$BF:$BF,'제품군별 SUMMARY'!$C53,차량대리점!AR:AR)/1000000</f>
        <v/>
      </c>
      <c r="X53">
        <f>SUMIF(차량대리점!$BF:$BF,'제품군별 SUMMARY'!$C53,차량대리점!AT:AT)</f>
        <v/>
      </c>
      <c r="Y53">
        <f>SUMIF(차량대리점!$BF:$BF,'제품군별 SUMMARY'!$C53,차량대리점!AU:AU)/1000000</f>
        <v/>
      </c>
      <c r="Z53">
        <f>SUMIF(차량대리점!$BF:$BF,'제품군별 SUMMARY'!$C53,차량대리점!AW:AW)</f>
        <v/>
      </c>
      <c r="AA53">
        <f>SUMIF(차량대리점!$BF:$BF,'제품군별 SUMMARY'!$C53,차량대리점!AX:AX)/1000000</f>
        <v/>
      </c>
    </row>
    <row r="54">
      <c r="C54" t="inlineStr">
        <is>
          <t>차량용 중형 PH</t>
        </is>
      </c>
      <c r="D54">
        <f>SUMIF(차량대리점!$BF:$BF,'제품군별 SUMMARY'!$C54,차량대리점!P:P)</f>
        <v/>
      </c>
      <c r="E54">
        <f>SUMIF(차량대리점!$BF:$BF,'제품군별 SUMMARY'!$C54,차량대리점!Q:Q)/1000000</f>
        <v/>
      </c>
      <c r="F54">
        <f>SUMIF(차량대리점!$BF:$BF,'제품군별 SUMMARY'!$C54,차량대리점!S:S)</f>
        <v/>
      </c>
      <c r="G54">
        <f>SUMIF(차량대리점!$BF:$BF,'제품군별 SUMMARY'!$C54,차량대리점!T:T)/1000000</f>
        <v/>
      </c>
      <c r="H54">
        <f>SUMIF(차량대리점!$BF:$BF,'제품군별 SUMMARY'!$C54,차량대리점!V:V)</f>
        <v/>
      </c>
      <c r="I54">
        <f>SUMIF(차량대리점!$BF:$BF,'제품군별 SUMMARY'!$C54,차량대리점!W:W)/1000000</f>
        <v/>
      </c>
      <c r="J54">
        <f>SUMIF(차량대리점!$BF:$BF,'제품군별 SUMMARY'!$C54,차량대리점!Y:Y)</f>
        <v/>
      </c>
      <c r="K54">
        <f>SUMIF(차량대리점!$BF:$BF,'제품군별 SUMMARY'!$C54,차량대리점!Z:Z)/1000000</f>
        <v/>
      </c>
      <c r="L54">
        <f>SUMIF(차량대리점!$BF:$BF,'제품군별 SUMMARY'!$C54,차량대리점!AB:AB)</f>
        <v/>
      </c>
      <c r="M54">
        <f>SUMIF(차량대리점!$BF:$BF,'제품군별 SUMMARY'!$C54,차량대리점!AC:AC)/1000000</f>
        <v/>
      </c>
      <c r="N54">
        <f>SUMIF(차량대리점!$BF:$BF,'제품군별 SUMMARY'!$C54,차량대리점!AE:AE)</f>
        <v/>
      </c>
      <c r="O54">
        <f>SUMIF(차량대리점!$BF:$BF,'제품군별 SUMMARY'!$C54,차량대리점!AF:AF)/1000000</f>
        <v/>
      </c>
      <c r="P54">
        <f>SUMIF(차량대리점!$BF:$BF,'제품군별 SUMMARY'!$C54,차량대리점!AH:AH)</f>
        <v/>
      </c>
      <c r="Q54">
        <f>SUMIF(차량대리점!$BF:$BF,'제품군별 SUMMARY'!$C54,차량대리점!AI:AI)/1000000</f>
        <v/>
      </c>
      <c r="R54">
        <f>SUMIF(차량대리점!$BF:$BF,'제품군별 SUMMARY'!$C54,차량대리점!AK:AK)</f>
        <v/>
      </c>
      <c r="S54">
        <f>SUMIF(차량대리점!$BF:$BF,'제품군별 SUMMARY'!$C54,차량대리점!AL:AL)/1000000</f>
        <v/>
      </c>
      <c r="T54">
        <f>SUMIF(차량대리점!$BF:$BF,'제품군별 SUMMARY'!$C54,차량대리점!AN:AN)</f>
        <v/>
      </c>
      <c r="U54">
        <f>SUMIF(차량대리점!$BF:$BF,'제품군별 SUMMARY'!$C54,차량대리점!AO:AO)/1000000</f>
        <v/>
      </c>
      <c r="V54">
        <f>SUMIF(차량대리점!$BF:$BF,'제품군별 SUMMARY'!$C54,차량대리점!AQ:AQ)</f>
        <v/>
      </c>
      <c r="W54">
        <f>SUMIF(차량대리점!$BF:$BF,'제품군별 SUMMARY'!$C54,차량대리점!AR:AR)/1000000</f>
        <v/>
      </c>
      <c r="X54">
        <f>SUMIF(차량대리점!$BF:$BF,'제품군별 SUMMARY'!$C54,차량대리점!AT:AT)</f>
        <v/>
      </c>
      <c r="Y54">
        <f>SUMIF(차량대리점!$BF:$BF,'제품군별 SUMMARY'!$C54,차량대리점!AU:AU)/1000000</f>
        <v/>
      </c>
      <c r="Z54">
        <f>SUMIF(차량대리점!$BF:$BF,'제품군별 SUMMARY'!$C54,차량대리점!AW:AW)</f>
        <v/>
      </c>
      <c r="AA54">
        <f>SUMIF(차량대리점!$BF:$BF,'제품군별 SUMMARY'!$C54,차량대리점!AX:AX)/1000000</f>
        <v/>
      </c>
    </row>
    <row r="55">
      <c r="C55" t="inlineStr">
        <is>
          <t>MF 대형 EXP</t>
        </is>
      </c>
      <c r="D55">
        <f>SUMIF(차량대리점!$BF:$BF,'제품군별 SUMMARY'!$C55,차량대리점!P:P)</f>
        <v/>
      </c>
      <c r="E55">
        <f>SUMIF(차량대리점!$BF:$BF,'제품군별 SUMMARY'!$C55,차량대리점!Q:Q)/1000000</f>
        <v/>
      </c>
      <c r="F55">
        <f>SUMIF(차량대리점!$BF:$BF,'제품군별 SUMMARY'!$C55,차량대리점!S:S)</f>
        <v/>
      </c>
      <c r="G55">
        <f>SUMIF(차량대리점!$BF:$BF,'제품군별 SUMMARY'!$C55,차량대리점!T:T)/1000000</f>
        <v/>
      </c>
      <c r="H55">
        <f>SUMIF(차량대리점!$BF:$BF,'제품군별 SUMMARY'!$C55,차량대리점!V:V)</f>
        <v/>
      </c>
      <c r="I55">
        <f>SUMIF(차량대리점!$BF:$BF,'제품군별 SUMMARY'!$C55,차량대리점!W:W)/1000000</f>
        <v/>
      </c>
      <c r="J55">
        <f>SUMIF(차량대리점!$BF:$BF,'제품군별 SUMMARY'!$C55,차량대리점!Y:Y)</f>
        <v/>
      </c>
      <c r="K55">
        <f>SUMIF(차량대리점!$BF:$BF,'제품군별 SUMMARY'!$C55,차량대리점!Z:Z)/1000000</f>
        <v/>
      </c>
      <c r="L55">
        <f>SUMIF(차량대리점!$BF:$BF,'제품군별 SUMMARY'!$C55,차량대리점!AB:AB)</f>
        <v/>
      </c>
      <c r="M55">
        <f>SUMIF(차량대리점!$BF:$BF,'제품군별 SUMMARY'!$C55,차량대리점!AC:AC)/1000000</f>
        <v/>
      </c>
      <c r="N55">
        <f>SUMIF(차량대리점!$BF:$BF,'제품군별 SUMMARY'!$C55,차량대리점!AE:AE)</f>
        <v/>
      </c>
      <c r="O55">
        <f>SUMIF(차량대리점!$BF:$BF,'제품군별 SUMMARY'!$C55,차량대리점!AF:AF)/1000000</f>
        <v/>
      </c>
      <c r="P55">
        <f>SUMIF(차량대리점!$BF:$BF,'제품군별 SUMMARY'!$C55,차량대리점!AH:AH)</f>
        <v/>
      </c>
      <c r="Q55">
        <f>SUMIF(차량대리점!$BF:$BF,'제품군별 SUMMARY'!$C55,차량대리점!AI:AI)/1000000</f>
        <v/>
      </c>
      <c r="R55">
        <f>SUMIF(차량대리점!$BF:$BF,'제품군별 SUMMARY'!$C55,차량대리점!AK:AK)</f>
        <v/>
      </c>
      <c r="S55">
        <f>SUMIF(차량대리점!$BF:$BF,'제품군별 SUMMARY'!$C55,차량대리점!AL:AL)/1000000</f>
        <v/>
      </c>
      <c r="T55">
        <f>SUMIF(차량대리점!$BF:$BF,'제품군별 SUMMARY'!$C55,차량대리점!AN:AN)</f>
        <v/>
      </c>
      <c r="U55">
        <f>SUMIF(차량대리점!$BF:$BF,'제품군별 SUMMARY'!$C55,차량대리점!AO:AO)/1000000</f>
        <v/>
      </c>
      <c r="V55">
        <f>SUMIF(차량대리점!$BF:$BF,'제품군별 SUMMARY'!$C55,차량대리점!AQ:AQ)</f>
        <v/>
      </c>
      <c r="W55">
        <f>SUMIF(차량대리점!$BF:$BF,'제품군별 SUMMARY'!$C55,차량대리점!AR:AR)/1000000</f>
        <v/>
      </c>
      <c r="X55">
        <f>SUMIF(차량대리점!$BF:$BF,'제품군별 SUMMARY'!$C55,차량대리점!AT:AT)</f>
        <v/>
      </c>
      <c r="Y55">
        <f>SUMIF(차량대리점!$BF:$BF,'제품군별 SUMMARY'!$C55,차량대리점!AU:AU)/1000000</f>
        <v/>
      </c>
      <c r="Z55">
        <f>SUMIF(차량대리점!$BF:$BF,'제품군별 SUMMARY'!$C55,차량대리점!AW:AW)</f>
        <v/>
      </c>
      <c r="AA55">
        <f>SUMIF(차량대리점!$BF:$BF,'제품군별 SUMMARY'!$C55,차량대리점!AX:AX)/1000000</f>
        <v/>
      </c>
    </row>
    <row r="56">
      <c r="C56" t="inlineStr">
        <is>
          <t>차량용 대형 EXP</t>
        </is>
      </c>
      <c r="D56">
        <f>SUMIF(차량대리점!$BF:$BF,'제품군별 SUMMARY'!$C56,차량대리점!P:P)</f>
        <v/>
      </c>
      <c r="E56">
        <f>SUMIF(차량대리점!$BF:$BF,'제품군별 SUMMARY'!$C56,차량대리점!Q:Q)/1000000</f>
        <v/>
      </c>
      <c r="F56">
        <f>SUMIF(차량대리점!$BF:$BF,'제품군별 SUMMARY'!$C56,차량대리점!S:S)</f>
        <v/>
      </c>
      <c r="G56">
        <f>SUMIF(차량대리점!$BF:$BF,'제품군별 SUMMARY'!$C56,차량대리점!T:T)/1000000</f>
        <v/>
      </c>
      <c r="H56">
        <f>SUMIF(차량대리점!$BF:$BF,'제품군별 SUMMARY'!$C56,차량대리점!V:V)</f>
        <v/>
      </c>
      <c r="I56">
        <f>SUMIF(차량대리점!$BF:$BF,'제품군별 SUMMARY'!$C56,차량대리점!W:W)/1000000</f>
        <v/>
      </c>
      <c r="J56">
        <f>SUMIF(차량대리점!$BF:$BF,'제품군별 SUMMARY'!$C56,차량대리점!Y:Y)</f>
        <v/>
      </c>
      <c r="K56">
        <f>SUMIF(차량대리점!$BF:$BF,'제품군별 SUMMARY'!$C56,차량대리점!Z:Z)/1000000</f>
        <v/>
      </c>
      <c r="L56">
        <f>SUMIF(차량대리점!$BF:$BF,'제품군별 SUMMARY'!$C56,차량대리점!AB:AB)</f>
        <v/>
      </c>
      <c r="M56">
        <f>SUMIF(차량대리점!$BF:$BF,'제품군별 SUMMARY'!$C56,차량대리점!AC:AC)/1000000</f>
        <v/>
      </c>
      <c r="N56">
        <f>SUMIF(차량대리점!$BF:$BF,'제품군별 SUMMARY'!$C56,차량대리점!AE:AE)</f>
        <v/>
      </c>
      <c r="O56">
        <f>SUMIF(차량대리점!$BF:$BF,'제품군별 SUMMARY'!$C56,차량대리점!AF:AF)/1000000</f>
        <v/>
      </c>
      <c r="P56">
        <f>SUMIF(차량대리점!$BF:$BF,'제품군별 SUMMARY'!$C56,차량대리점!AH:AH)</f>
        <v/>
      </c>
      <c r="Q56">
        <f>SUMIF(차량대리점!$BF:$BF,'제품군별 SUMMARY'!$C56,차량대리점!AI:AI)/1000000</f>
        <v/>
      </c>
      <c r="R56">
        <f>SUMIF(차량대리점!$BF:$BF,'제품군별 SUMMARY'!$C56,차량대리점!AK:AK)</f>
        <v/>
      </c>
      <c r="S56">
        <f>SUMIF(차량대리점!$BF:$BF,'제품군별 SUMMARY'!$C56,차량대리점!AL:AL)/1000000</f>
        <v/>
      </c>
      <c r="T56">
        <f>SUMIF(차량대리점!$BF:$BF,'제품군별 SUMMARY'!$C56,차량대리점!AN:AN)</f>
        <v/>
      </c>
      <c r="U56">
        <f>SUMIF(차량대리점!$BF:$BF,'제품군별 SUMMARY'!$C56,차량대리점!AO:AO)/1000000</f>
        <v/>
      </c>
      <c r="V56">
        <f>SUMIF(차량대리점!$BF:$BF,'제품군별 SUMMARY'!$C56,차량대리점!AQ:AQ)</f>
        <v/>
      </c>
      <c r="W56">
        <f>SUMIF(차량대리점!$BF:$BF,'제품군별 SUMMARY'!$C56,차량대리점!AR:AR)/1000000</f>
        <v/>
      </c>
      <c r="X56">
        <f>SUMIF(차량대리점!$BF:$BF,'제품군별 SUMMARY'!$C56,차량대리점!AT:AT)</f>
        <v/>
      </c>
      <c r="Y56">
        <f>SUMIF(차량대리점!$BF:$BF,'제품군별 SUMMARY'!$C56,차량대리점!AU:AU)/1000000</f>
        <v/>
      </c>
      <c r="Z56">
        <f>SUMIF(차량대리점!$BF:$BF,'제품군별 SUMMARY'!$C56,차량대리점!AW:AW)</f>
        <v/>
      </c>
      <c r="AA56">
        <f>SUMIF(차량대리점!$BF:$BF,'제품군별 SUMMARY'!$C56,차량대리점!AX:AX)/1000000</f>
        <v/>
      </c>
    </row>
    <row r="57">
      <c r="C57" t="inlineStr">
        <is>
          <t>차량용 대형 PH</t>
        </is>
      </c>
      <c r="D57">
        <f>SUMIF(차량대리점!$BF:$BF,'제품군별 SUMMARY'!$C57,차량대리점!P:P)</f>
        <v/>
      </c>
      <c r="E57">
        <f>SUMIF(차량대리점!$BF:$BF,'제품군별 SUMMARY'!$C57,차량대리점!Q:Q)/1000000</f>
        <v/>
      </c>
      <c r="F57">
        <f>SUMIF(차량대리점!$BF:$BF,'제품군별 SUMMARY'!$C57,차량대리점!S:S)</f>
        <v/>
      </c>
      <c r="G57">
        <f>SUMIF(차량대리점!$BF:$BF,'제품군별 SUMMARY'!$C57,차량대리점!T:T)/1000000</f>
        <v/>
      </c>
      <c r="H57">
        <f>SUMIF(차량대리점!$BF:$BF,'제품군별 SUMMARY'!$C57,차량대리점!V:V)</f>
        <v/>
      </c>
      <c r="I57">
        <f>SUMIF(차량대리점!$BF:$BF,'제품군별 SUMMARY'!$C57,차량대리점!W:W)/1000000</f>
        <v/>
      </c>
      <c r="J57">
        <f>SUMIF(차량대리점!$BF:$BF,'제품군별 SUMMARY'!$C57,차량대리점!Y:Y)</f>
        <v/>
      </c>
      <c r="K57">
        <f>SUMIF(차량대리점!$BF:$BF,'제품군별 SUMMARY'!$C57,차량대리점!Z:Z)/1000000</f>
        <v/>
      </c>
      <c r="L57">
        <f>SUMIF(차량대리점!$BF:$BF,'제품군별 SUMMARY'!$C57,차량대리점!AB:AB)</f>
        <v/>
      </c>
      <c r="M57">
        <f>SUMIF(차량대리점!$BF:$BF,'제품군별 SUMMARY'!$C57,차량대리점!AC:AC)/1000000</f>
        <v/>
      </c>
      <c r="N57">
        <f>SUMIF(차량대리점!$BF:$BF,'제품군별 SUMMARY'!$C57,차량대리점!AE:AE)</f>
        <v/>
      </c>
      <c r="O57">
        <f>SUMIF(차량대리점!$BF:$BF,'제품군별 SUMMARY'!$C57,차량대리점!AF:AF)/1000000</f>
        <v/>
      </c>
      <c r="P57">
        <f>SUMIF(차량대리점!$BF:$BF,'제품군별 SUMMARY'!$C57,차량대리점!AH:AH)</f>
        <v/>
      </c>
      <c r="Q57">
        <f>SUMIF(차량대리점!$BF:$BF,'제품군별 SUMMARY'!$C57,차량대리점!AI:AI)/1000000</f>
        <v/>
      </c>
      <c r="R57">
        <f>SUMIF(차량대리점!$BF:$BF,'제품군별 SUMMARY'!$C57,차량대리점!AK:AK)</f>
        <v/>
      </c>
      <c r="S57">
        <f>SUMIF(차량대리점!$BF:$BF,'제품군별 SUMMARY'!$C57,차량대리점!AL:AL)/1000000</f>
        <v/>
      </c>
      <c r="T57">
        <f>SUMIF(차량대리점!$BF:$BF,'제품군별 SUMMARY'!$C57,차량대리점!AN:AN)</f>
        <v/>
      </c>
      <c r="U57">
        <f>SUMIF(차량대리점!$BF:$BF,'제품군별 SUMMARY'!$C57,차량대리점!AO:AO)/1000000</f>
        <v/>
      </c>
      <c r="V57">
        <f>SUMIF(차량대리점!$BF:$BF,'제품군별 SUMMARY'!$C57,차량대리점!AQ:AQ)</f>
        <v/>
      </c>
      <c r="W57">
        <f>SUMIF(차량대리점!$BF:$BF,'제품군별 SUMMARY'!$C57,차량대리점!AR:AR)/1000000</f>
        <v/>
      </c>
      <c r="X57">
        <f>SUMIF(차량대리점!$BF:$BF,'제품군별 SUMMARY'!$C57,차량대리점!AT:AT)</f>
        <v/>
      </c>
      <c r="Y57">
        <f>SUMIF(차량대리점!$BF:$BF,'제품군별 SUMMARY'!$C57,차량대리점!AU:AU)/1000000</f>
        <v/>
      </c>
      <c r="Z57">
        <f>SUMIF(차량대리점!$BF:$BF,'제품군별 SUMMARY'!$C57,차량대리점!AW:AW)</f>
        <v/>
      </c>
      <c r="AA57">
        <f>SUMIF(차량대리점!$BF:$BF,'제품군별 SUMMARY'!$C57,차량대리점!AX:AX)/1000000</f>
        <v/>
      </c>
    </row>
    <row r="58">
      <c r="B58" t="inlineStr">
        <is>
          <t>소계</t>
        </is>
      </c>
      <c r="D58">
        <f>SUM(D43:D57)</f>
        <v/>
      </c>
      <c r="E58">
        <f>SUM(E43:E57)</f>
        <v/>
      </c>
      <c r="F58">
        <f>SUM(F43:F57)</f>
        <v/>
      </c>
      <c r="G58">
        <f>SUM(G43:G57)</f>
        <v/>
      </c>
      <c r="H58">
        <f>SUM(H43:H57)</f>
        <v/>
      </c>
      <c r="I58">
        <f>SUM(I43:I57)</f>
        <v/>
      </c>
      <c r="J58">
        <f>SUM(J43:J57)</f>
        <v/>
      </c>
      <c r="K58">
        <f>SUM(K43:K57)</f>
        <v/>
      </c>
      <c r="L58">
        <f>SUM(L43:L57)</f>
        <v/>
      </c>
      <c r="M58">
        <f>SUM(M43:M57)</f>
        <v/>
      </c>
      <c r="N58">
        <f>SUM(N43:N57)</f>
        <v/>
      </c>
      <c r="O58">
        <f>SUM(O43:O57)</f>
        <v/>
      </c>
      <c r="P58">
        <f>SUM(P43:P57)</f>
        <v/>
      </c>
      <c r="Q58">
        <f>SUM(Q43:Q57)</f>
        <v/>
      </c>
      <c r="R58">
        <f>SUM(R43:R57)</f>
        <v/>
      </c>
      <c r="S58">
        <f>SUM(S43:S57)</f>
        <v/>
      </c>
      <c r="T58">
        <f>SUM(T43:T57)</f>
        <v/>
      </c>
      <c r="U58">
        <f>SUM(U43:U57)</f>
        <v/>
      </c>
      <c r="V58">
        <f>SUM(V43:V57)</f>
        <v/>
      </c>
      <c r="W58">
        <f>SUM(W43:W57)</f>
        <v/>
      </c>
      <c r="X58">
        <f>SUM(X43:X57)</f>
        <v/>
      </c>
      <c r="Y58">
        <f>SUM(Y43:Y57)</f>
        <v/>
      </c>
      <c r="Z58">
        <f>SUM(Z43:Z57)</f>
        <v/>
      </c>
      <c r="AA58">
        <f>SUM(AA43:AA57)</f>
        <v/>
      </c>
    </row>
    <row r="59">
      <c r="A59" t="inlineStr">
        <is>
          <t>차량
부문</t>
        </is>
      </c>
      <c r="B59" t="inlineStr">
        <is>
          <t>차량OE</t>
        </is>
      </c>
      <c r="C59" t="inlineStr">
        <is>
          <t>차량용 대형 EXP</t>
        </is>
      </c>
      <c r="D59">
        <f>SUMIF(차량OE!$BF:$BF,'제품군별 SUMMARY'!$C59,차량OE!P:P)</f>
        <v/>
      </c>
      <c r="E59">
        <f>SUMIF(차량OE!$BF:$BF,'제품군별 SUMMARY'!$C59,차량OE!Q:Q)/1000000</f>
        <v/>
      </c>
      <c r="F59">
        <f>SUMIF(차량OE!$BF:$BF,'제품군별 SUMMARY'!$C59,차량OE!S:S)</f>
        <v/>
      </c>
      <c r="G59">
        <f>SUMIF(차량OE!$BF:$BF,'제품군별 SUMMARY'!$C59,차량OE!T:T)/1000000</f>
        <v/>
      </c>
      <c r="H59">
        <f>SUMIF(차량OE!$BF:$BF,'제품군별 SUMMARY'!$C59,차량OE!V:V)</f>
        <v/>
      </c>
      <c r="I59">
        <f>SUMIF(차량OE!$BF:$BF,'제품군별 SUMMARY'!$C59,차량OE!W:W)/1000000</f>
        <v/>
      </c>
      <c r="J59">
        <f>SUMIF(차량OE!$BF:$BF,'제품군별 SUMMARY'!$C59,차량OE!Y:Y)</f>
        <v/>
      </c>
      <c r="K59">
        <f>SUMIF(차량OE!$BF:$BF,'제품군별 SUMMARY'!$C59,차량OE!Z:Z)/1000000</f>
        <v/>
      </c>
      <c r="L59">
        <f>SUMIF(차량OE!$BF:$BF,'제품군별 SUMMARY'!$C59,차량OE!AB:AB)</f>
        <v/>
      </c>
      <c r="M59">
        <f>SUMIF(차량OE!$BF:$BF,'제품군별 SUMMARY'!$C59,차량OE!AC:AC)/1000000</f>
        <v/>
      </c>
      <c r="N59">
        <f>SUMIF(차량OE!$BF:$BF,'제품군별 SUMMARY'!$C59,차량OE!AE:AE)</f>
        <v/>
      </c>
      <c r="O59">
        <f>SUMIF(차량OE!$BF:$BF,'제품군별 SUMMARY'!$C59,차량OE!AF:AF)/1000000</f>
        <v/>
      </c>
      <c r="P59">
        <f>SUMIF(차량OE!$BF:$BF,'제품군별 SUMMARY'!$C59,차량OE!AH:AH)</f>
        <v/>
      </c>
      <c r="Q59">
        <f>SUMIF(차량OE!$BF:$BF,'제품군별 SUMMARY'!$C59,차량OE!AI:AI)/1000000</f>
        <v/>
      </c>
      <c r="R59">
        <f>SUMIF(차량OE!$BF:$BF,'제품군별 SUMMARY'!$C59,차량OE!AK:AK)</f>
        <v/>
      </c>
      <c r="S59">
        <f>SUMIF(차량OE!$BF:$BF,'제품군별 SUMMARY'!$C59,차량OE!AL:AL)/1000000</f>
        <v/>
      </c>
      <c r="T59">
        <f>SUMIF(차량OE!$BF:$BF,'제품군별 SUMMARY'!$C59,차량OE!AN:AN)</f>
        <v/>
      </c>
      <c r="U59">
        <f>SUMIF(차량OE!$BF:$BF,'제품군별 SUMMARY'!$C59,차량OE!AO:AO)/1000000</f>
        <v/>
      </c>
      <c r="V59">
        <f>SUMIF(차량OE!$BF:$BF,'제품군별 SUMMARY'!$C59,차량OE!AQ:AQ)</f>
        <v/>
      </c>
      <c r="W59">
        <f>SUMIF(차량OE!$BF:$BF,'제품군별 SUMMARY'!$C59,차량OE!AR:AR)/1000000</f>
        <v/>
      </c>
      <c r="X59">
        <f>SUMIF(차량OE!$BF:$BF,'제품군별 SUMMARY'!$C59,차량OE!AT:AT)</f>
        <v/>
      </c>
      <c r="Y59">
        <f>SUMIF(차량OE!$BF:$BF,'제품군별 SUMMARY'!$C59,차량OE!AU:AU)/1000000</f>
        <v/>
      </c>
      <c r="Z59">
        <f>SUMIF(차량OE!$BF:$BF,'제품군별 SUMMARY'!$C59,차량OE!AW:AW)</f>
        <v/>
      </c>
      <c r="AA59">
        <f>SUMIF(차량OE!$BF:$BF,'제품군별 SUMMARY'!$C59,차량OE!AX:AX)/1000000</f>
        <v/>
      </c>
    </row>
    <row r="60">
      <c r="C60" t="inlineStr">
        <is>
          <t>차량용 중형 EXP</t>
        </is>
      </c>
      <c r="D60">
        <f>SUMIF(차량OE!$BF:$BF,'제품군별 SUMMARY'!$C60,차량OE!P:P)</f>
        <v/>
      </c>
      <c r="E60">
        <f>SUMIF(차량OE!$BF:$BF,'제품군별 SUMMARY'!$C60,차량OE!Q:Q)/1000000</f>
        <v/>
      </c>
      <c r="F60">
        <f>SUMIF(차량OE!$BF:$BF,'제품군별 SUMMARY'!$C60,차량OE!S:S)</f>
        <v/>
      </c>
      <c r="G60">
        <f>SUMIF(차량OE!$BF:$BF,'제품군별 SUMMARY'!$C60,차량OE!T:T)/1000000</f>
        <v/>
      </c>
      <c r="H60">
        <f>SUMIF(차량OE!$BF:$BF,'제품군별 SUMMARY'!$C60,차량OE!V:V)</f>
        <v/>
      </c>
      <c r="I60">
        <f>SUMIF(차량OE!$BF:$BF,'제품군별 SUMMARY'!$C60,차량OE!W:W)/1000000</f>
        <v/>
      </c>
      <c r="J60">
        <f>SUMIF(차량OE!$BF:$BF,'제품군별 SUMMARY'!$C60,차량OE!Y:Y)</f>
        <v/>
      </c>
      <c r="K60">
        <f>SUMIF(차량OE!$BF:$BF,'제품군별 SUMMARY'!$C60,차량OE!Z:Z)/1000000</f>
        <v/>
      </c>
      <c r="L60">
        <f>SUMIF(차량OE!$BF:$BF,'제품군별 SUMMARY'!$C60,차량OE!AB:AB)</f>
        <v/>
      </c>
      <c r="M60">
        <f>SUMIF(차량OE!$BF:$BF,'제품군별 SUMMARY'!$C60,차량OE!AC:AC)/1000000</f>
        <v/>
      </c>
      <c r="N60">
        <f>SUMIF(차량OE!$BF:$BF,'제품군별 SUMMARY'!$C60,차량OE!AE:AE)</f>
        <v/>
      </c>
      <c r="O60">
        <f>SUMIF(차량OE!$BF:$BF,'제품군별 SUMMARY'!$C60,차량OE!AF:AF)/1000000</f>
        <v/>
      </c>
      <c r="P60">
        <f>SUMIF(차량OE!$BF:$BF,'제품군별 SUMMARY'!$C60,차량OE!AH:AH)</f>
        <v/>
      </c>
      <c r="Q60">
        <f>SUMIF(차량OE!$BF:$BF,'제품군별 SUMMARY'!$C60,차량OE!AI:AI)/1000000</f>
        <v/>
      </c>
      <c r="R60">
        <f>SUMIF(차량OE!$BF:$BF,'제품군별 SUMMARY'!$C60,차량OE!AK:AK)</f>
        <v/>
      </c>
      <c r="S60">
        <f>SUMIF(차량OE!$BF:$BF,'제품군별 SUMMARY'!$C60,차량OE!AL:AL)/1000000</f>
        <v/>
      </c>
      <c r="T60">
        <f>SUMIF(차량OE!$BF:$BF,'제품군별 SUMMARY'!$C60,차량OE!AN:AN)</f>
        <v/>
      </c>
      <c r="U60">
        <f>SUMIF(차량OE!$BF:$BF,'제품군별 SUMMARY'!$C60,차량OE!AO:AO)/1000000</f>
        <v/>
      </c>
      <c r="V60">
        <f>SUMIF(차량OE!$BF:$BF,'제품군별 SUMMARY'!$C60,차량OE!AQ:AQ)</f>
        <v/>
      </c>
      <c r="W60">
        <f>SUMIF(차량OE!$BF:$BF,'제품군별 SUMMARY'!$C60,차량OE!AR:AR)/1000000</f>
        <v/>
      </c>
      <c r="X60">
        <f>SUMIF(차량OE!$BF:$BF,'제품군별 SUMMARY'!$C60,차량OE!AT:AT)</f>
        <v/>
      </c>
      <c r="Y60">
        <f>SUMIF(차량OE!$BF:$BF,'제품군별 SUMMARY'!$C60,차량OE!AU:AU)/1000000</f>
        <v/>
      </c>
      <c r="Z60">
        <f>SUMIF(차량OE!$BF:$BF,'제품군별 SUMMARY'!$C60,차량OE!AW:AW)</f>
        <v/>
      </c>
      <c r="AA60">
        <f>SUMIF(차량OE!$BF:$BF,'제품군별 SUMMARY'!$C60,차량OE!AX:AX)/1000000</f>
        <v/>
      </c>
    </row>
    <row r="61">
      <c r="C61" t="inlineStr">
        <is>
          <t>PREMIUM/ITON</t>
        </is>
      </c>
      <c r="D61">
        <f>SUMIF(차량OE!$BF:$BF,'제품군별 SUMMARY'!$C61,차량OE!P:P)</f>
        <v/>
      </c>
      <c r="E61">
        <f>SUMIF(차량OE!$BF:$BF,'제품군별 SUMMARY'!$C61,차량OE!Q:Q)/1000000</f>
        <v/>
      </c>
      <c r="F61">
        <f>SUMIF(차량OE!$BF:$BF,'제품군별 SUMMARY'!$C61,차량OE!S:S)</f>
        <v/>
      </c>
      <c r="G61">
        <f>SUMIF(차량OE!$BF:$BF,'제품군별 SUMMARY'!$C61,차량OE!T:T)/1000000</f>
        <v/>
      </c>
      <c r="H61">
        <f>SUMIF(차량OE!$BF:$BF,'제품군별 SUMMARY'!$C61,차량OE!V:V)</f>
        <v/>
      </c>
      <c r="I61">
        <f>SUMIF(차량OE!$BF:$BF,'제품군별 SUMMARY'!$C61,차량OE!W:W)/1000000</f>
        <v/>
      </c>
      <c r="J61">
        <f>SUMIF(차량OE!$BF:$BF,'제품군별 SUMMARY'!$C61,차량OE!Y:Y)</f>
        <v/>
      </c>
      <c r="K61">
        <f>SUMIF(차량OE!$BF:$BF,'제품군별 SUMMARY'!$C61,차량OE!Z:Z)/1000000</f>
        <v/>
      </c>
      <c r="L61">
        <f>SUMIF(차량OE!$BF:$BF,'제품군별 SUMMARY'!$C61,차량OE!AB:AB)</f>
        <v/>
      </c>
      <c r="M61">
        <f>SUMIF(차량OE!$BF:$BF,'제품군별 SUMMARY'!$C61,차량OE!AC:AC)/1000000</f>
        <v/>
      </c>
      <c r="N61">
        <f>SUMIF(차량OE!$BF:$BF,'제품군별 SUMMARY'!$C61,차량OE!AE:AE)</f>
        <v/>
      </c>
      <c r="O61">
        <f>SUMIF(차량OE!$BF:$BF,'제품군별 SUMMARY'!$C61,차량OE!AF:AF)/1000000</f>
        <v/>
      </c>
      <c r="P61">
        <f>SUMIF(차량OE!$BF:$BF,'제품군별 SUMMARY'!$C61,차량OE!AH:AH)</f>
        <v/>
      </c>
      <c r="Q61">
        <f>SUMIF(차량OE!$BF:$BF,'제품군별 SUMMARY'!$C61,차량OE!AI:AI)/1000000</f>
        <v/>
      </c>
      <c r="R61">
        <f>SUMIF(차량OE!$BF:$BF,'제품군별 SUMMARY'!$C61,차량OE!AK:AK)</f>
        <v/>
      </c>
      <c r="S61">
        <f>SUMIF(차량OE!$BF:$BF,'제품군별 SUMMARY'!$C61,차량OE!AL:AL)/1000000</f>
        <v/>
      </c>
      <c r="T61">
        <f>SUMIF(차량OE!$BF:$BF,'제품군별 SUMMARY'!$C61,차량OE!AN:AN)</f>
        <v/>
      </c>
      <c r="U61">
        <f>SUMIF(차량OE!$BF:$BF,'제품군별 SUMMARY'!$C61,차량OE!AO:AO)/1000000</f>
        <v/>
      </c>
      <c r="V61">
        <f>SUMIF(차량OE!$BF:$BF,'제품군별 SUMMARY'!$C61,차량OE!AQ:AQ)</f>
        <v/>
      </c>
      <c r="W61">
        <f>SUMIF(차량OE!$BF:$BF,'제품군별 SUMMARY'!$C61,차량OE!AR:AR)/1000000</f>
        <v/>
      </c>
      <c r="X61">
        <f>SUMIF(차량OE!$BF:$BF,'제품군별 SUMMARY'!$C61,차량OE!AT:AT)</f>
        <v/>
      </c>
      <c r="Y61">
        <f>SUMIF(차량OE!$BF:$BF,'제품군별 SUMMARY'!$C61,차량OE!AU:AU)/1000000</f>
        <v/>
      </c>
      <c r="Z61">
        <f>SUMIF(차량OE!$BF:$BF,'제품군별 SUMMARY'!$C61,차량OE!AW:AW)</f>
        <v/>
      </c>
      <c r="AA61">
        <f>SUMIF(차량OE!$BF:$BF,'제품군별 SUMMARY'!$C61,차량OE!AX:AX)/1000000</f>
        <v/>
      </c>
    </row>
    <row r="62">
      <c r="C62" t="inlineStr">
        <is>
          <t>AGM 3세대</t>
        </is>
      </c>
      <c r="D62">
        <f>SUMIF(차량OE!$BF:$BF,'제품군별 SUMMARY'!$C62,차량OE!P:P)</f>
        <v/>
      </c>
      <c r="E62">
        <f>SUMIF(차량OE!$BF:$BF,'제품군별 SUMMARY'!$C62,차량OE!Q:Q)/1000000</f>
        <v/>
      </c>
      <c r="F62">
        <f>SUMIF(차량OE!$BF:$BF,'제품군별 SUMMARY'!$C62,차량OE!S:S)</f>
        <v/>
      </c>
      <c r="G62">
        <f>SUMIF(차량OE!$BF:$BF,'제품군별 SUMMARY'!$C62,차량OE!T:T)/1000000</f>
        <v/>
      </c>
      <c r="H62">
        <f>SUMIF(차량OE!$BF:$BF,'제품군별 SUMMARY'!$C62,차량OE!V:V)</f>
        <v/>
      </c>
      <c r="I62">
        <f>SUMIF(차량OE!$BF:$BF,'제품군별 SUMMARY'!$C62,차량OE!W:W)/1000000</f>
        <v/>
      </c>
      <c r="J62">
        <f>SUMIF(차량OE!$BF:$BF,'제품군별 SUMMARY'!$C62,차량OE!Y:Y)</f>
        <v/>
      </c>
      <c r="K62">
        <f>SUMIF(차량OE!$BF:$BF,'제품군별 SUMMARY'!$C62,차량OE!Z:Z)/1000000</f>
        <v/>
      </c>
      <c r="L62">
        <f>SUMIF(차량OE!$BF:$BF,'제품군별 SUMMARY'!$C62,차량OE!AB:AB)</f>
        <v/>
      </c>
      <c r="M62">
        <f>SUMIF(차량OE!$BF:$BF,'제품군별 SUMMARY'!$C62,차량OE!AC:AC)/1000000</f>
        <v/>
      </c>
      <c r="N62">
        <f>SUMIF(차량OE!$BF:$BF,'제품군별 SUMMARY'!$C62,차량OE!AE:AE)</f>
        <v/>
      </c>
      <c r="O62">
        <f>SUMIF(차량OE!$BF:$BF,'제품군별 SUMMARY'!$C62,차량OE!AF:AF)/1000000</f>
        <v/>
      </c>
      <c r="P62">
        <f>SUMIF(차량OE!$BF:$BF,'제품군별 SUMMARY'!$C62,차량OE!AH:AH)</f>
        <v/>
      </c>
      <c r="Q62">
        <f>SUMIF(차량OE!$BF:$BF,'제품군별 SUMMARY'!$C62,차량OE!AI:AI)/1000000</f>
        <v/>
      </c>
      <c r="R62">
        <f>SUMIF(차량OE!$BF:$BF,'제품군별 SUMMARY'!$C62,차량OE!AK:AK)</f>
        <v/>
      </c>
      <c r="S62">
        <f>SUMIF(차량OE!$BF:$BF,'제품군별 SUMMARY'!$C62,차량OE!AL:AL)/1000000</f>
        <v/>
      </c>
      <c r="T62">
        <f>SUMIF(차량OE!$BF:$BF,'제품군별 SUMMARY'!$C62,차량OE!AN:AN)</f>
        <v/>
      </c>
      <c r="U62">
        <f>SUMIF(차량OE!$BF:$BF,'제품군별 SUMMARY'!$C62,차량OE!AO:AO)/1000000</f>
        <v/>
      </c>
      <c r="V62">
        <f>SUMIF(차량OE!$BF:$BF,'제품군별 SUMMARY'!$C62,차량OE!AQ:AQ)</f>
        <v/>
      </c>
      <c r="W62">
        <f>SUMIF(차량OE!$BF:$BF,'제품군별 SUMMARY'!$C62,차량OE!AR:AR)/1000000</f>
        <v/>
      </c>
      <c r="X62">
        <f>SUMIF(차량OE!$BF:$BF,'제품군별 SUMMARY'!$C62,차량OE!AT:AT)</f>
        <v/>
      </c>
      <c r="Y62">
        <f>SUMIF(차량OE!$BF:$BF,'제품군별 SUMMARY'!$C62,차량OE!AU:AU)/1000000</f>
        <v/>
      </c>
      <c r="Z62">
        <f>SUMIF(차량OE!$BF:$BF,'제품군별 SUMMARY'!$C62,차량OE!AW:AW)</f>
        <v/>
      </c>
      <c r="AA62">
        <f>SUMIF(차량OE!$BF:$BF,'제품군별 SUMMARY'!$C62,차량OE!AX:AX)/1000000</f>
        <v/>
      </c>
    </row>
    <row r="63">
      <c r="C63" t="inlineStr">
        <is>
          <t>MF 중형 EXP</t>
        </is>
      </c>
      <c r="D63">
        <f>SUMIF(차량OE!$BF:$BF,'제품군별 SUMMARY'!$C63,차량OE!P:P)</f>
        <v/>
      </c>
      <c r="E63">
        <f>SUMIF(차량OE!$BF:$BF,'제품군별 SUMMARY'!$C63,차량OE!Q:Q)/1000000</f>
        <v/>
      </c>
      <c r="F63">
        <f>SUMIF(차량OE!$BF:$BF,'제품군별 SUMMARY'!$C63,차량OE!S:S)</f>
        <v/>
      </c>
      <c r="G63">
        <f>SUMIF(차량OE!$BF:$BF,'제품군별 SUMMARY'!$C63,차량OE!T:T)/1000000</f>
        <v/>
      </c>
      <c r="H63">
        <f>SUMIF(차량OE!$BF:$BF,'제품군별 SUMMARY'!$C63,차량OE!V:V)</f>
        <v/>
      </c>
      <c r="I63">
        <f>SUMIF(차량OE!$BF:$BF,'제품군별 SUMMARY'!$C63,차량OE!W:W)/1000000</f>
        <v/>
      </c>
      <c r="J63">
        <f>SUMIF(차량OE!$BF:$BF,'제품군별 SUMMARY'!$C63,차량OE!Y:Y)</f>
        <v/>
      </c>
      <c r="K63">
        <f>SUMIF(차량OE!$BF:$BF,'제품군별 SUMMARY'!$C63,차량OE!Z:Z)/1000000</f>
        <v/>
      </c>
      <c r="L63">
        <f>SUMIF(차량OE!$BF:$BF,'제품군별 SUMMARY'!$C63,차량OE!AB:AB)</f>
        <v/>
      </c>
      <c r="M63">
        <f>SUMIF(차량OE!$BF:$BF,'제품군별 SUMMARY'!$C63,차량OE!AC:AC)/1000000</f>
        <v/>
      </c>
      <c r="N63">
        <f>SUMIF(차량OE!$BF:$BF,'제품군별 SUMMARY'!$C63,차량OE!AE:AE)</f>
        <v/>
      </c>
      <c r="O63">
        <f>SUMIF(차량OE!$BF:$BF,'제품군별 SUMMARY'!$C63,차량OE!AF:AF)/1000000</f>
        <v/>
      </c>
      <c r="P63">
        <f>SUMIF(차량OE!$BF:$BF,'제품군별 SUMMARY'!$C63,차량OE!AH:AH)</f>
        <v/>
      </c>
      <c r="Q63">
        <f>SUMIF(차량OE!$BF:$BF,'제품군별 SUMMARY'!$C63,차량OE!AI:AI)/1000000</f>
        <v/>
      </c>
      <c r="R63">
        <f>SUMIF(차량OE!$BF:$BF,'제품군별 SUMMARY'!$C63,차량OE!AK:AK)</f>
        <v/>
      </c>
      <c r="S63">
        <f>SUMIF(차량OE!$BF:$BF,'제품군별 SUMMARY'!$C63,차량OE!AL:AL)/1000000</f>
        <v/>
      </c>
      <c r="T63">
        <f>SUMIF(차량OE!$BF:$BF,'제품군별 SUMMARY'!$C63,차량OE!AN:AN)</f>
        <v/>
      </c>
      <c r="U63">
        <f>SUMIF(차량OE!$BF:$BF,'제품군별 SUMMARY'!$C63,차량OE!AO:AO)/1000000</f>
        <v/>
      </c>
      <c r="V63">
        <f>SUMIF(차량OE!$BF:$BF,'제품군별 SUMMARY'!$C63,차량OE!AQ:AQ)</f>
        <v/>
      </c>
      <c r="W63">
        <f>SUMIF(차량OE!$BF:$BF,'제품군별 SUMMARY'!$C63,차량OE!AR:AR)/1000000</f>
        <v/>
      </c>
      <c r="X63">
        <f>SUMIF(차량OE!$BF:$BF,'제품군별 SUMMARY'!$C63,차량OE!AT:AT)</f>
        <v/>
      </c>
      <c r="Y63">
        <f>SUMIF(차량OE!$BF:$BF,'제품군별 SUMMARY'!$C63,차량OE!AU:AU)/1000000</f>
        <v/>
      </c>
      <c r="Z63">
        <f>SUMIF(차량OE!$BF:$BF,'제품군별 SUMMARY'!$C63,차량OE!AW:AW)</f>
        <v/>
      </c>
      <c r="AA63">
        <f>SUMIF(차량OE!$BF:$BF,'제품군별 SUMMARY'!$C63,차량OE!AX:AX)/1000000</f>
        <v/>
      </c>
    </row>
    <row r="64">
      <c r="C64" t="inlineStr">
        <is>
          <t>차량용 소형 EXP</t>
        </is>
      </c>
      <c r="D64">
        <f>SUMIF(차량OE!$BF:$BF,'제품군별 SUMMARY'!$C64,차량OE!P:P)</f>
        <v/>
      </c>
      <c r="E64">
        <f>SUMIF(차량OE!$BF:$BF,'제품군별 SUMMARY'!$C64,차량OE!Q:Q)/1000000</f>
        <v/>
      </c>
      <c r="F64">
        <f>SUMIF(차량OE!$BF:$BF,'제품군별 SUMMARY'!$C64,차량OE!S:S)</f>
        <v/>
      </c>
      <c r="G64">
        <f>SUMIF(차량OE!$BF:$BF,'제품군별 SUMMARY'!$C64,차량OE!T:T)/1000000</f>
        <v/>
      </c>
      <c r="H64">
        <f>SUMIF(차량OE!$BF:$BF,'제품군별 SUMMARY'!$C64,차량OE!V:V)</f>
        <v/>
      </c>
      <c r="I64">
        <f>SUMIF(차량OE!$BF:$BF,'제품군별 SUMMARY'!$C64,차량OE!W:W)/1000000</f>
        <v/>
      </c>
      <c r="J64">
        <f>SUMIF(차량OE!$BF:$BF,'제품군별 SUMMARY'!$C64,차량OE!Y:Y)</f>
        <v/>
      </c>
      <c r="K64">
        <f>SUMIF(차량OE!$BF:$BF,'제품군별 SUMMARY'!$C64,차량OE!Z:Z)/1000000</f>
        <v/>
      </c>
      <c r="L64">
        <f>SUMIF(차량OE!$BF:$BF,'제품군별 SUMMARY'!$C64,차량OE!AB:AB)</f>
        <v/>
      </c>
      <c r="M64">
        <f>SUMIF(차량OE!$BF:$BF,'제품군별 SUMMARY'!$C64,차량OE!AC:AC)/1000000</f>
        <v/>
      </c>
      <c r="N64">
        <f>SUMIF(차량OE!$BF:$BF,'제품군별 SUMMARY'!$C64,차량OE!AE:AE)</f>
        <v/>
      </c>
      <c r="O64">
        <f>SUMIF(차량OE!$BF:$BF,'제품군별 SUMMARY'!$C64,차량OE!AF:AF)/1000000</f>
        <v/>
      </c>
      <c r="P64">
        <f>SUMIF(차량OE!$BF:$BF,'제품군별 SUMMARY'!$C64,차량OE!AH:AH)</f>
        <v/>
      </c>
      <c r="Q64">
        <f>SUMIF(차량OE!$BF:$BF,'제품군별 SUMMARY'!$C64,차량OE!AI:AI)/1000000</f>
        <v/>
      </c>
      <c r="R64">
        <f>SUMIF(차량OE!$BF:$BF,'제품군별 SUMMARY'!$C64,차량OE!AK:AK)</f>
        <v/>
      </c>
      <c r="S64">
        <f>SUMIF(차량OE!$BF:$BF,'제품군별 SUMMARY'!$C64,차량OE!AL:AL)/1000000</f>
        <v/>
      </c>
      <c r="T64">
        <f>SUMIF(차량OE!$BF:$BF,'제품군별 SUMMARY'!$C64,차량OE!AN:AN)</f>
        <v/>
      </c>
      <c r="U64">
        <f>SUMIF(차량OE!$BF:$BF,'제품군별 SUMMARY'!$C64,차량OE!AO:AO)/1000000</f>
        <v/>
      </c>
      <c r="V64">
        <f>SUMIF(차량OE!$BF:$BF,'제품군별 SUMMARY'!$C64,차량OE!AQ:AQ)</f>
        <v/>
      </c>
      <c r="W64">
        <f>SUMIF(차량OE!$BF:$BF,'제품군별 SUMMARY'!$C64,차량OE!AR:AR)/1000000</f>
        <v/>
      </c>
      <c r="X64">
        <f>SUMIF(차량OE!$BF:$BF,'제품군별 SUMMARY'!$C64,차량OE!AT:AT)</f>
        <v/>
      </c>
      <c r="Y64">
        <f>SUMIF(차량OE!$BF:$BF,'제품군별 SUMMARY'!$C64,차량OE!AU:AU)/1000000</f>
        <v/>
      </c>
      <c r="Z64">
        <f>SUMIF(차량OE!$BF:$BF,'제품군별 SUMMARY'!$C64,차량OE!AW:AW)</f>
        <v/>
      </c>
      <c r="AA64">
        <f>SUMIF(차량OE!$BF:$BF,'제품군별 SUMMARY'!$C64,차량OE!AX:AX)/1000000</f>
        <v/>
      </c>
    </row>
    <row r="65">
      <c r="C65" t="inlineStr">
        <is>
          <t>PT(CA) 대형</t>
        </is>
      </c>
      <c r="D65">
        <f>SUMIF(차량OE!$BF:$BF,'제품군별 SUMMARY'!$C65,차량OE!P:P)</f>
        <v/>
      </c>
      <c r="E65">
        <f>SUMIF(차량OE!$BF:$BF,'제품군별 SUMMARY'!$C65,차량OE!Q:Q)/1000000</f>
        <v/>
      </c>
      <c r="F65">
        <f>SUMIF(차량OE!$BF:$BF,'제품군별 SUMMARY'!$C65,차량OE!S:S)</f>
        <v/>
      </c>
      <c r="G65">
        <f>SUMIF(차량OE!$BF:$BF,'제품군별 SUMMARY'!$C65,차량OE!T:T)/1000000</f>
        <v/>
      </c>
      <c r="H65">
        <f>SUMIF(차량OE!$BF:$BF,'제품군별 SUMMARY'!$C65,차량OE!V:V)</f>
        <v/>
      </c>
      <c r="I65">
        <f>SUMIF(차량OE!$BF:$BF,'제품군별 SUMMARY'!$C65,차량OE!W:W)/1000000</f>
        <v/>
      </c>
      <c r="J65">
        <f>SUMIF(차량OE!$BF:$BF,'제품군별 SUMMARY'!$C65,차량OE!Y:Y)</f>
        <v/>
      </c>
      <c r="K65">
        <f>SUMIF(차량OE!$BF:$BF,'제품군별 SUMMARY'!$C65,차량OE!Z:Z)/1000000</f>
        <v/>
      </c>
      <c r="L65">
        <f>SUMIF(차량OE!$BF:$BF,'제품군별 SUMMARY'!$C65,차량OE!AB:AB)</f>
        <v/>
      </c>
      <c r="M65">
        <f>SUMIF(차량OE!$BF:$BF,'제품군별 SUMMARY'!$C65,차량OE!AC:AC)/1000000</f>
        <v/>
      </c>
      <c r="N65">
        <f>SUMIF(차량OE!$BF:$BF,'제품군별 SUMMARY'!$C65,차량OE!AE:AE)</f>
        <v/>
      </c>
      <c r="O65">
        <f>SUMIF(차량OE!$BF:$BF,'제품군별 SUMMARY'!$C65,차량OE!AF:AF)/1000000</f>
        <v/>
      </c>
      <c r="P65">
        <f>SUMIF(차량OE!$BF:$BF,'제품군별 SUMMARY'!$C65,차량OE!AH:AH)</f>
        <v/>
      </c>
      <c r="Q65">
        <f>SUMIF(차량OE!$BF:$BF,'제품군별 SUMMARY'!$C65,차량OE!AI:AI)/1000000</f>
        <v/>
      </c>
      <c r="R65">
        <f>SUMIF(차량OE!$BF:$BF,'제품군별 SUMMARY'!$C65,차량OE!AK:AK)</f>
        <v/>
      </c>
      <c r="S65">
        <f>SUMIF(차량OE!$BF:$BF,'제품군별 SUMMARY'!$C65,차량OE!AL:AL)/1000000</f>
        <v/>
      </c>
      <c r="T65">
        <f>SUMIF(차량OE!$BF:$BF,'제품군별 SUMMARY'!$C65,차량OE!AN:AN)</f>
        <v/>
      </c>
      <c r="U65">
        <f>SUMIF(차량OE!$BF:$BF,'제품군별 SUMMARY'!$C65,차량OE!AO:AO)/1000000</f>
        <v/>
      </c>
      <c r="V65">
        <f>SUMIF(차량OE!$BF:$BF,'제품군별 SUMMARY'!$C65,차량OE!AQ:AQ)</f>
        <v/>
      </c>
      <c r="W65">
        <f>SUMIF(차량OE!$BF:$BF,'제품군별 SUMMARY'!$C65,차량OE!AR:AR)/1000000</f>
        <v/>
      </c>
      <c r="X65">
        <f>SUMIF(차량OE!$BF:$BF,'제품군별 SUMMARY'!$C65,차량OE!AT:AT)</f>
        <v/>
      </c>
      <c r="Y65">
        <f>SUMIF(차량OE!$BF:$BF,'제품군별 SUMMARY'!$C65,차량OE!AU:AU)/1000000</f>
        <v/>
      </c>
      <c r="Z65">
        <f>SUMIF(차량OE!$BF:$BF,'제품군별 SUMMARY'!$C65,차량OE!AW:AW)</f>
        <v/>
      </c>
      <c r="AA65">
        <f>SUMIF(차량OE!$BF:$BF,'제품군별 SUMMARY'!$C65,차량OE!AX:AX)/1000000</f>
        <v/>
      </c>
    </row>
    <row r="66">
      <c r="C66" t="inlineStr">
        <is>
          <t>이륜용 상품</t>
        </is>
      </c>
      <c r="D66">
        <f>SUMIF(차량OE!$BF:$BF,'제품군별 SUMMARY'!$C66,차량OE!P:P)</f>
        <v/>
      </c>
      <c r="E66">
        <f>SUMIF(차량OE!$BF:$BF,'제품군별 SUMMARY'!$C66,차량OE!Q:Q)/1000000</f>
        <v/>
      </c>
      <c r="F66">
        <f>SUMIF(차량OE!$BF:$BF,'제품군별 SUMMARY'!$C66,차량OE!S:S)</f>
        <v/>
      </c>
      <c r="G66">
        <f>SUMIF(차량OE!$BF:$BF,'제품군별 SUMMARY'!$C66,차량OE!T:T)/1000000</f>
        <v/>
      </c>
      <c r="H66">
        <f>SUMIF(차량OE!$BF:$BF,'제품군별 SUMMARY'!$C66,차량OE!V:V)</f>
        <v/>
      </c>
      <c r="I66">
        <f>SUMIF(차량OE!$BF:$BF,'제품군별 SUMMARY'!$C66,차량OE!W:W)/1000000</f>
        <v/>
      </c>
      <c r="J66">
        <f>SUMIF(차량OE!$BF:$BF,'제품군별 SUMMARY'!$C66,차량OE!Y:Y)</f>
        <v/>
      </c>
      <c r="K66">
        <f>SUMIF(차량OE!$BF:$BF,'제품군별 SUMMARY'!$C66,차량OE!Z:Z)/1000000</f>
        <v/>
      </c>
      <c r="L66">
        <f>SUMIF(차량OE!$BF:$BF,'제품군별 SUMMARY'!$C66,차량OE!AB:AB)</f>
        <v/>
      </c>
      <c r="M66">
        <f>SUMIF(차량OE!$BF:$BF,'제품군별 SUMMARY'!$C66,차량OE!AC:AC)/1000000</f>
        <v/>
      </c>
      <c r="N66">
        <f>SUMIF(차량OE!$BF:$BF,'제품군별 SUMMARY'!$C66,차량OE!AE:AE)</f>
        <v/>
      </c>
      <c r="O66">
        <f>SUMIF(차량OE!$BF:$BF,'제품군별 SUMMARY'!$C66,차량OE!AF:AF)/1000000</f>
        <v/>
      </c>
      <c r="P66">
        <f>SUMIF(차량OE!$BF:$BF,'제품군별 SUMMARY'!$C66,차량OE!AH:AH)</f>
        <v/>
      </c>
      <c r="Q66">
        <f>SUMIF(차량OE!$BF:$BF,'제품군별 SUMMARY'!$C66,차량OE!AI:AI)/1000000</f>
        <v/>
      </c>
      <c r="R66">
        <f>SUMIF(차량OE!$BF:$BF,'제품군별 SUMMARY'!$C66,차량OE!AK:AK)</f>
        <v/>
      </c>
      <c r="S66">
        <f>SUMIF(차량OE!$BF:$BF,'제품군별 SUMMARY'!$C66,차량OE!AL:AL)/1000000</f>
        <v/>
      </c>
      <c r="T66">
        <f>SUMIF(차량OE!$BF:$BF,'제품군별 SUMMARY'!$C66,차량OE!AN:AN)</f>
        <v/>
      </c>
      <c r="U66">
        <f>SUMIF(차량OE!$BF:$BF,'제품군별 SUMMARY'!$C66,차량OE!AO:AO)/1000000</f>
        <v/>
      </c>
      <c r="V66">
        <f>SUMIF(차량OE!$BF:$BF,'제품군별 SUMMARY'!$C66,차량OE!AQ:AQ)</f>
        <v/>
      </c>
      <c r="W66">
        <f>SUMIF(차량OE!$BF:$BF,'제품군별 SUMMARY'!$C66,차량OE!AR:AR)/1000000</f>
        <v/>
      </c>
      <c r="X66">
        <f>SUMIF(차량OE!$BF:$BF,'제품군별 SUMMARY'!$C66,차량OE!AT:AT)</f>
        <v/>
      </c>
      <c r="Y66">
        <f>SUMIF(차량OE!$BF:$BF,'제품군별 SUMMARY'!$C66,차량OE!AU:AU)/1000000</f>
        <v/>
      </c>
      <c r="Z66">
        <f>SUMIF(차량OE!$BF:$BF,'제품군별 SUMMARY'!$C66,차량OE!AW:AW)</f>
        <v/>
      </c>
      <c r="AA66">
        <f>SUMIF(차량OE!$BF:$BF,'제품군별 SUMMARY'!$C66,차량OE!AX:AX)/1000000</f>
        <v/>
      </c>
    </row>
    <row r="67">
      <c r="C67" t="inlineStr">
        <is>
          <t>PT(CA) 중형</t>
        </is>
      </c>
      <c r="D67">
        <f>SUMIF(차량OE!$BF:$BF,'제품군별 SUMMARY'!$C67,차량OE!P:P)</f>
        <v/>
      </c>
      <c r="E67">
        <f>SUMIF(차량OE!$BF:$BF,'제품군별 SUMMARY'!$C67,차량OE!Q:Q)/1000000</f>
        <v/>
      </c>
      <c r="F67">
        <f>SUMIF(차량OE!$BF:$BF,'제품군별 SUMMARY'!$C67,차량OE!S:S)</f>
        <v/>
      </c>
      <c r="G67">
        <f>SUMIF(차량OE!$BF:$BF,'제품군별 SUMMARY'!$C67,차량OE!T:T)/1000000</f>
        <v/>
      </c>
      <c r="H67">
        <f>SUMIF(차량OE!$BF:$BF,'제품군별 SUMMARY'!$C67,차량OE!V:V)</f>
        <v/>
      </c>
      <c r="I67">
        <f>SUMIF(차량OE!$BF:$BF,'제품군별 SUMMARY'!$C67,차량OE!W:W)/1000000</f>
        <v/>
      </c>
      <c r="J67">
        <f>SUMIF(차량OE!$BF:$BF,'제품군별 SUMMARY'!$C67,차량OE!Y:Y)</f>
        <v/>
      </c>
      <c r="K67">
        <f>SUMIF(차량OE!$BF:$BF,'제품군별 SUMMARY'!$C67,차량OE!Z:Z)/1000000</f>
        <v/>
      </c>
      <c r="L67">
        <f>SUMIF(차량OE!$BF:$BF,'제품군별 SUMMARY'!$C67,차량OE!AB:AB)</f>
        <v/>
      </c>
      <c r="M67">
        <f>SUMIF(차량OE!$BF:$BF,'제품군별 SUMMARY'!$C67,차량OE!AC:AC)/1000000</f>
        <v/>
      </c>
      <c r="N67">
        <f>SUMIF(차량OE!$BF:$BF,'제품군별 SUMMARY'!$C67,차량OE!AE:AE)</f>
        <v/>
      </c>
      <c r="O67">
        <f>SUMIF(차량OE!$BF:$BF,'제품군별 SUMMARY'!$C67,차량OE!AF:AF)/1000000</f>
        <v/>
      </c>
      <c r="P67">
        <f>SUMIF(차량OE!$BF:$BF,'제품군별 SUMMARY'!$C67,차량OE!AH:AH)</f>
        <v/>
      </c>
      <c r="Q67">
        <f>SUMIF(차량OE!$BF:$BF,'제품군별 SUMMARY'!$C67,차량OE!AI:AI)/1000000</f>
        <v/>
      </c>
      <c r="R67">
        <f>SUMIF(차량OE!$BF:$BF,'제품군별 SUMMARY'!$C67,차량OE!AK:AK)</f>
        <v/>
      </c>
      <c r="S67">
        <f>SUMIF(차량OE!$BF:$BF,'제품군별 SUMMARY'!$C67,차량OE!AL:AL)/1000000</f>
        <v/>
      </c>
      <c r="T67">
        <f>SUMIF(차량OE!$BF:$BF,'제품군별 SUMMARY'!$C67,차량OE!AN:AN)</f>
        <v/>
      </c>
      <c r="U67">
        <f>SUMIF(차량OE!$BF:$BF,'제품군별 SUMMARY'!$C67,차량OE!AO:AO)/1000000</f>
        <v/>
      </c>
      <c r="V67">
        <f>SUMIF(차량OE!$BF:$BF,'제품군별 SUMMARY'!$C67,차량OE!AQ:AQ)</f>
        <v/>
      </c>
      <c r="W67">
        <f>SUMIF(차량OE!$BF:$BF,'제품군별 SUMMARY'!$C67,차량OE!AR:AR)/1000000</f>
        <v/>
      </c>
      <c r="X67">
        <f>SUMIF(차량OE!$BF:$BF,'제품군별 SUMMARY'!$C67,차량OE!AT:AT)</f>
        <v/>
      </c>
      <c r="Y67">
        <f>SUMIF(차량OE!$BF:$BF,'제품군별 SUMMARY'!$C67,차량OE!AU:AU)/1000000</f>
        <v/>
      </c>
      <c r="Z67">
        <f>SUMIF(차량OE!$BF:$BF,'제품군별 SUMMARY'!$C67,차량OE!AW:AW)</f>
        <v/>
      </c>
      <c r="AA67">
        <f>SUMIF(차량OE!$BF:$BF,'제품군별 SUMMARY'!$C67,차량OE!AX:AX)/1000000</f>
        <v/>
      </c>
    </row>
    <row r="68">
      <c r="C68" t="inlineStr">
        <is>
          <t>MF 농기계</t>
        </is>
      </c>
      <c r="D68">
        <f>SUMIF(차량OE!$BF:$BF,'제품군별 SUMMARY'!$C68,차량OE!P:P)</f>
        <v/>
      </c>
      <c r="E68">
        <f>SUMIF(차량OE!$BF:$BF,'제품군별 SUMMARY'!$C68,차량OE!Q:Q)/1000000</f>
        <v/>
      </c>
      <c r="F68">
        <f>SUMIF(차량OE!$BF:$BF,'제품군별 SUMMARY'!$C68,차량OE!S:S)</f>
        <v/>
      </c>
      <c r="G68">
        <f>SUMIF(차량OE!$BF:$BF,'제품군별 SUMMARY'!$C68,차량OE!T:T)/1000000</f>
        <v/>
      </c>
      <c r="H68">
        <f>SUMIF(차량OE!$BF:$BF,'제품군별 SUMMARY'!$C68,차량OE!V:V)</f>
        <v/>
      </c>
      <c r="I68">
        <f>SUMIF(차량OE!$BF:$BF,'제품군별 SUMMARY'!$C68,차량OE!W:W)/1000000</f>
        <v/>
      </c>
      <c r="J68">
        <f>SUMIF(차량OE!$BF:$BF,'제품군별 SUMMARY'!$C68,차량OE!Y:Y)</f>
        <v/>
      </c>
      <c r="K68">
        <f>SUMIF(차량OE!$BF:$BF,'제품군별 SUMMARY'!$C68,차량OE!Z:Z)/1000000</f>
        <v/>
      </c>
      <c r="L68">
        <f>SUMIF(차량OE!$BF:$BF,'제품군별 SUMMARY'!$C68,차량OE!AB:AB)</f>
        <v/>
      </c>
      <c r="M68">
        <f>SUMIF(차량OE!$BF:$BF,'제품군별 SUMMARY'!$C68,차량OE!AC:AC)/1000000</f>
        <v/>
      </c>
      <c r="N68">
        <f>SUMIF(차량OE!$BF:$BF,'제품군별 SUMMARY'!$C68,차량OE!AE:AE)</f>
        <v/>
      </c>
      <c r="O68">
        <f>SUMIF(차량OE!$BF:$BF,'제품군별 SUMMARY'!$C68,차량OE!AF:AF)/1000000</f>
        <v/>
      </c>
      <c r="P68">
        <f>SUMIF(차량OE!$BF:$BF,'제품군별 SUMMARY'!$C68,차량OE!AH:AH)</f>
        <v/>
      </c>
      <c r="Q68">
        <f>SUMIF(차량OE!$BF:$BF,'제품군별 SUMMARY'!$C68,차량OE!AI:AI)/1000000</f>
        <v/>
      </c>
      <c r="R68">
        <f>SUMIF(차량OE!$BF:$BF,'제품군별 SUMMARY'!$C68,차량OE!AK:AK)</f>
        <v/>
      </c>
      <c r="S68">
        <f>SUMIF(차량OE!$BF:$BF,'제품군별 SUMMARY'!$C68,차량OE!AL:AL)/1000000</f>
        <v/>
      </c>
      <c r="T68">
        <f>SUMIF(차량OE!$BF:$BF,'제품군별 SUMMARY'!$C68,차량OE!AN:AN)</f>
        <v/>
      </c>
      <c r="U68">
        <f>SUMIF(차량OE!$BF:$BF,'제품군별 SUMMARY'!$C68,차량OE!AO:AO)/1000000</f>
        <v/>
      </c>
      <c r="V68">
        <f>SUMIF(차량OE!$BF:$BF,'제품군별 SUMMARY'!$C68,차량OE!AQ:AQ)</f>
        <v/>
      </c>
      <c r="W68">
        <f>SUMIF(차량OE!$BF:$BF,'제품군별 SUMMARY'!$C68,차량OE!AR:AR)/1000000</f>
        <v/>
      </c>
      <c r="X68">
        <f>SUMIF(차량OE!$BF:$BF,'제품군별 SUMMARY'!$C68,차량OE!AT:AT)</f>
        <v/>
      </c>
      <c r="Y68">
        <f>SUMIF(차량OE!$BF:$BF,'제품군별 SUMMARY'!$C68,차량OE!AU:AU)/1000000</f>
        <v/>
      </c>
      <c r="Z68">
        <f>SUMIF(차량OE!$BF:$BF,'제품군별 SUMMARY'!$C68,차량OE!AW:AW)</f>
        <v/>
      </c>
      <c r="AA68">
        <f>SUMIF(차량OE!$BF:$BF,'제품군별 SUMMARY'!$C68,차량OE!AX:AX)/1000000</f>
        <v/>
      </c>
    </row>
    <row r="69">
      <c r="C69" t="inlineStr">
        <is>
          <t>MF 소형 EXP</t>
        </is>
      </c>
      <c r="D69">
        <f>SUMIF(차량OE!$BF:$BF,'제품군별 SUMMARY'!$C69,차량OE!P:P)</f>
        <v/>
      </c>
      <c r="E69">
        <f>SUMIF(차량OE!$BF:$BF,'제품군별 SUMMARY'!$C69,차량OE!Q:Q)/1000000</f>
        <v/>
      </c>
      <c r="F69">
        <f>SUMIF(차량OE!$BF:$BF,'제품군별 SUMMARY'!$C69,차량OE!S:S)</f>
        <v/>
      </c>
      <c r="G69">
        <f>SUMIF(차량OE!$BF:$BF,'제품군별 SUMMARY'!$C69,차량OE!T:T)/1000000</f>
        <v/>
      </c>
      <c r="H69">
        <f>SUMIF(차량OE!$BF:$BF,'제품군별 SUMMARY'!$C69,차량OE!V:V)</f>
        <v/>
      </c>
      <c r="I69">
        <f>SUMIF(차량OE!$BF:$BF,'제품군별 SUMMARY'!$C69,차량OE!W:W)/1000000</f>
        <v/>
      </c>
      <c r="J69">
        <f>SUMIF(차량OE!$BF:$BF,'제품군별 SUMMARY'!$C69,차량OE!Y:Y)</f>
        <v/>
      </c>
      <c r="K69">
        <f>SUMIF(차량OE!$BF:$BF,'제품군별 SUMMARY'!$C69,차량OE!Z:Z)/1000000</f>
        <v/>
      </c>
      <c r="L69">
        <f>SUMIF(차량OE!$BF:$BF,'제품군별 SUMMARY'!$C69,차량OE!AB:AB)</f>
        <v/>
      </c>
      <c r="M69">
        <f>SUMIF(차량OE!$BF:$BF,'제품군별 SUMMARY'!$C69,차량OE!AC:AC)/1000000</f>
        <v/>
      </c>
      <c r="N69">
        <f>SUMIF(차량OE!$BF:$BF,'제품군별 SUMMARY'!$C69,차량OE!AE:AE)</f>
        <v/>
      </c>
      <c r="O69">
        <f>SUMIF(차량OE!$BF:$BF,'제품군별 SUMMARY'!$C69,차량OE!AF:AF)/1000000</f>
        <v/>
      </c>
      <c r="P69">
        <f>SUMIF(차량OE!$BF:$BF,'제품군별 SUMMARY'!$C69,차량OE!AH:AH)</f>
        <v/>
      </c>
      <c r="Q69">
        <f>SUMIF(차량OE!$BF:$BF,'제품군별 SUMMARY'!$C69,차량OE!AI:AI)/1000000</f>
        <v/>
      </c>
      <c r="R69">
        <f>SUMIF(차량OE!$BF:$BF,'제품군별 SUMMARY'!$C69,차량OE!AK:AK)</f>
        <v/>
      </c>
      <c r="S69">
        <f>SUMIF(차량OE!$BF:$BF,'제품군별 SUMMARY'!$C69,차량OE!AL:AL)/1000000</f>
        <v/>
      </c>
      <c r="T69">
        <f>SUMIF(차량OE!$BF:$BF,'제품군별 SUMMARY'!$C69,차량OE!AN:AN)</f>
        <v/>
      </c>
      <c r="U69">
        <f>SUMIF(차량OE!$BF:$BF,'제품군별 SUMMARY'!$C69,차량OE!AO:AO)/1000000</f>
        <v/>
      </c>
      <c r="V69">
        <f>SUMIF(차량OE!$BF:$BF,'제품군별 SUMMARY'!$C69,차량OE!AQ:AQ)</f>
        <v/>
      </c>
      <c r="W69">
        <f>SUMIF(차량OE!$BF:$BF,'제품군별 SUMMARY'!$C69,차량OE!AR:AR)/1000000</f>
        <v/>
      </c>
      <c r="X69">
        <f>SUMIF(차량OE!$BF:$BF,'제품군별 SUMMARY'!$C69,차량OE!AT:AT)</f>
        <v/>
      </c>
      <c r="Y69">
        <f>SUMIF(차량OE!$BF:$BF,'제품군별 SUMMARY'!$C69,차량OE!AU:AU)/1000000</f>
        <v/>
      </c>
      <c r="Z69">
        <f>SUMIF(차량OE!$BF:$BF,'제품군별 SUMMARY'!$C69,차량OE!AW:AW)</f>
        <v/>
      </c>
      <c r="AA69">
        <f>SUMIF(차량OE!$BF:$BF,'제품군별 SUMMARY'!$C69,차량OE!AX:AX)/1000000</f>
        <v/>
      </c>
    </row>
    <row r="70">
      <c r="C70" t="inlineStr">
        <is>
          <t>MF 대형 EXP</t>
        </is>
      </c>
      <c r="D70">
        <f>SUMIF(차량OE!$BF:$BF,'제품군별 SUMMARY'!$C70,차량OE!P:P)</f>
        <v/>
      </c>
      <c r="E70">
        <f>SUMIF(차량OE!$BF:$BF,'제품군별 SUMMARY'!$C70,차량OE!Q:Q)/1000000</f>
        <v/>
      </c>
      <c r="F70">
        <f>SUMIF(차량OE!$BF:$BF,'제품군별 SUMMARY'!$C70,차량OE!S:S)</f>
        <v/>
      </c>
      <c r="G70">
        <f>SUMIF(차량OE!$BF:$BF,'제품군별 SUMMARY'!$C70,차량OE!T:T)/1000000</f>
        <v/>
      </c>
      <c r="H70">
        <f>SUMIF(차량OE!$BF:$BF,'제품군별 SUMMARY'!$C70,차량OE!V:V)</f>
        <v/>
      </c>
      <c r="I70">
        <f>SUMIF(차량OE!$BF:$BF,'제품군별 SUMMARY'!$C70,차량OE!W:W)/1000000</f>
        <v/>
      </c>
      <c r="J70">
        <f>SUMIF(차량OE!$BF:$BF,'제품군별 SUMMARY'!$C70,차량OE!Y:Y)</f>
        <v/>
      </c>
      <c r="K70">
        <f>SUMIF(차량OE!$BF:$BF,'제품군별 SUMMARY'!$C70,차량OE!Z:Z)/1000000</f>
        <v/>
      </c>
      <c r="L70">
        <f>SUMIF(차량OE!$BF:$BF,'제품군별 SUMMARY'!$C70,차량OE!AB:AB)</f>
        <v/>
      </c>
      <c r="M70">
        <f>SUMIF(차량OE!$BF:$BF,'제품군별 SUMMARY'!$C70,차량OE!AC:AC)/1000000</f>
        <v/>
      </c>
      <c r="N70">
        <f>SUMIF(차량OE!$BF:$BF,'제품군별 SUMMARY'!$C70,차량OE!AE:AE)</f>
        <v/>
      </c>
      <c r="O70">
        <f>SUMIF(차량OE!$BF:$BF,'제품군별 SUMMARY'!$C70,차량OE!AF:AF)/1000000</f>
        <v/>
      </c>
      <c r="P70">
        <f>SUMIF(차량OE!$BF:$BF,'제품군별 SUMMARY'!$C70,차량OE!AH:AH)</f>
        <v/>
      </c>
      <c r="Q70">
        <f>SUMIF(차량OE!$BF:$BF,'제품군별 SUMMARY'!$C70,차량OE!AI:AI)/1000000</f>
        <v/>
      </c>
      <c r="R70">
        <f>SUMIF(차량OE!$BF:$BF,'제품군별 SUMMARY'!$C70,차량OE!AK:AK)</f>
        <v/>
      </c>
      <c r="S70">
        <f>SUMIF(차량OE!$BF:$BF,'제품군별 SUMMARY'!$C70,차량OE!AL:AL)/1000000</f>
        <v/>
      </c>
      <c r="T70">
        <f>SUMIF(차량OE!$BF:$BF,'제품군별 SUMMARY'!$C70,차량OE!AN:AN)</f>
        <v/>
      </c>
      <c r="U70">
        <f>SUMIF(차량OE!$BF:$BF,'제품군별 SUMMARY'!$C70,차량OE!AO:AO)/1000000</f>
        <v/>
      </c>
      <c r="V70">
        <f>SUMIF(차량OE!$BF:$BF,'제품군별 SUMMARY'!$C70,차량OE!AQ:AQ)</f>
        <v/>
      </c>
      <c r="W70">
        <f>SUMIF(차량OE!$BF:$BF,'제품군별 SUMMARY'!$C70,차량OE!AR:AR)/1000000</f>
        <v/>
      </c>
      <c r="X70">
        <f>SUMIF(차량OE!$BF:$BF,'제품군별 SUMMARY'!$C70,차량OE!AT:AT)</f>
        <v/>
      </c>
      <c r="Y70">
        <f>SUMIF(차량OE!$BF:$BF,'제품군별 SUMMARY'!$C70,차량OE!AU:AU)/1000000</f>
        <v/>
      </c>
      <c r="Z70">
        <f>SUMIF(차량OE!$BF:$BF,'제품군별 SUMMARY'!$C70,차량OE!AW:AW)</f>
        <v/>
      </c>
      <c r="AA70">
        <f>SUMIF(차량OE!$BF:$BF,'제품군별 SUMMARY'!$C70,차량OE!AX:AX)/1000000</f>
        <v/>
      </c>
    </row>
    <row r="71">
      <c r="C71" t="inlineStr">
        <is>
          <t>차량용 대형 PH</t>
        </is>
      </c>
      <c r="D71">
        <f>SUMIF(차량OE!$BF:$BF,'제품군별 SUMMARY'!$C71,차량OE!P:P)</f>
        <v/>
      </c>
      <c r="E71">
        <f>SUMIF(차량OE!$BF:$BF,'제품군별 SUMMARY'!$C71,차량OE!Q:Q)/1000000</f>
        <v/>
      </c>
      <c r="F71">
        <f>SUMIF(차량OE!$BF:$BF,'제품군별 SUMMARY'!$C71,차량OE!S:S)</f>
        <v/>
      </c>
      <c r="G71">
        <f>SUMIF(차량OE!$BF:$BF,'제품군별 SUMMARY'!$C71,차량OE!T:T)/1000000</f>
        <v/>
      </c>
      <c r="H71">
        <f>SUMIF(차량OE!$BF:$BF,'제품군별 SUMMARY'!$C71,차량OE!V:V)</f>
        <v/>
      </c>
      <c r="I71">
        <f>SUMIF(차량OE!$BF:$BF,'제품군별 SUMMARY'!$C71,차량OE!W:W)/1000000</f>
        <v/>
      </c>
      <c r="J71">
        <f>SUMIF(차량OE!$BF:$BF,'제품군별 SUMMARY'!$C71,차량OE!Y:Y)</f>
        <v/>
      </c>
      <c r="K71">
        <f>SUMIF(차량OE!$BF:$BF,'제품군별 SUMMARY'!$C71,차량OE!Z:Z)/1000000</f>
        <v/>
      </c>
      <c r="L71">
        <f>SUMIF(차량OE!$BF:$BF,'제품군별 SUMMARY'!$C71,차량OE!AB:AB)</f>
        <v/>
      </c>
      <c r="M71">
        <f>SUMIF(차량OE!$BF:$BF,'제품군별 SUMMARY'!$C71,차량OE!AC:AC)/1000000</f>
        <v/>
      </c>
      <c r="N71">
        <f>SUMIF(차량OE!$BF:$BF,'제품군별 SUMMARY'!$C71,차량OE!AE:AE)</f>
        <v/>
      </c>
      <c r="O71">
        <f>SUMIF(차량OE!$BF:$BF,'제품군별 SUMMARY'!$C71,차량OE!AF:AF)/1000000</f>
        <v/>
      </c>
      <c r="P71">
        <f>SUMIF(차량OE!$BF:$BF,'제품군별 SUMMARY'!$C71,차량OE!AH:AH)</f>
        <v/>
      </c>
      <c r="Q71">
        <f>SUMIF(차량OE!$BF:$BF,'제품군별 SUMMARY'!$C71,차량OE!AI:AI)/1000000</f>
        <v/>
      </c>
      <c r="R71">
        <f>SUMIF(차량OE!$BF:$BF,'제품군별 SUMMARY'!$C71,차량OE!AK:AK)</f>
        <v/>
      </c>
      <c r="S71">
        <f>SUMIF(차량OE!$BF:$BF,'제품군별 SUMMARY'!$C71,차량OE!AL:AL)/1000000</f>
        <v/>
      </c>
      <c r="T71">
        <f>SUMIF(차량OE!$BF:$BF,'제품군별 SUMMARY'!$C71,차량OE!AN:AN)</f>
        <v/>
      </c>
      <c r="U71">
        <f>SUMIF(차량OE!$BF:$BF,'제품군별 SUMMARY'!$C71,차량OE!AO:AO)/1000000</f>
        <v/>
      </c>
      <c r="V71">
        <f>SUMIF(차량OE!$BF:$BF,'제품군별 SUMMARY'!$C71,차량OE!AQ:AQ)</f>
        <v/>
      </c>
      <c r="W71">
        <f>SUMIF(차량OE!$BF:$BF,'제품군별 SUMMARY'!$C71,차량OE!AR:AR)/1000000</f>
        <v/>
      </c>
      <c r="X71">
        <f>SUMIF(차량OE!$BF:$BF,'제품군별 SUMMARY'!$C71,차량OE!AT:AT)</f>
        <v/>
      </c>
      <c r="Y71">
        <f>SUMIF(차량OE!$BF:$BF,'제품군별 SUMMARY'!$C71,차량OE!AU:AU)/1000000</f>
        <v/>
      </c>
      <c r="Z71">
        <f>SUMIF(차량OE!$BF:$BF,'제품군별 SUMMARY'!$C71,차량OE!AW:AW)</f>
        <v/>
      </c>
      <c r="AA71">
        <f>SUMIF(차량OE!$BF:$BF,'제품군별 SUMMARY'!$C71,차량OE!AX:AX)/1000000</f>
        <v/>
      </c>
    </row>
    <row r="72">
      <c r="C72" t="inlineStr">
        <is>
          <t>PT(SB)</t>
        </is>
      </c>
      <c r="D72">
        <f>SUMIF(차량OE!$BF:$BF,'제품군별 SUMMARY'!$C72,차량OE!P:P)</f>
        <v/>
      </c>
      <c r="E72">
        <f>SUMIF(차량OE!$BF:$BF,'제품군별 SUMMARY'!$C72,차량OE!Q:Q)/1000000</f>
        <v/>
      </c>
      <c r="F72">
        <f>SUMIF(차량OE!$BF:$BF,'제품군별 SUMMARY'!$C72,차량OE!S:S)</f>
        <v/>
      </c>
      <c r="G72">
        <f>SUMIF(차량OE!$BF:$BF,'제품군별 SUMMARY'!$C72,차량OE!T:T)/1000000</f>
        <v/>
      </c>
      <c r="H72">
        <f>SUMIF(차량OE!$BF:$BF,'제품군별 SUMMARY'!$C72,차량OE!V:V)</f>
        <v/>
      </c>
      <c r="I72">
        <f>SUMIF(차량OE!$BF:$BF,'제품군별 SUMMARY'!$C72,차량OE!W:W)/1000000</f>
        <v/>
      </c>
      <c r="J72">
        <f>SUMIF(차량OE!$BF:$BF,'제품군별 SUMMARY'!$C72,차량OE!Y:Y)</f>
        <v/>
      </c>
      <c r="K72">
        <f>SUMIF(차량OE!$BF:$BF,'제품군별 SUMMARY'!$C72,차량OE!Z:Z)/1000000</f>
        <v/>
      </c>
      <c r="L72">
        <f>SUMIF(차량OE!$BF:$BF,'제품군별 SUMMARY'!$C72,차량OE!AB:AB)</f>
        <v/>
      </c>
      <c r="M72">
        <f>SUMIF(차량OE!$BF:$BF,'제품군별 SUMMARY'!$C72,차량OE!AC:AC)/1000000</f>
        <v/>
      </c>
      <c r="N72">
        <f>SUMIF(차량OE!$BF:$BF,'제품군별 SUMMARY'!$C72,차량OE!AE:AE)</f>
        <v/>
      </c>
      <c r="O72">
        <f>SUMIF(차량OE!$BF:$BF,'제품군별 SUMMARY'!$C72,차량OE!AF:AF)/1000000</f>
        <v/>
      </c>
      <c r="P72">
        <f>SUMIF(차량OE!$BF:$BF,'제품군별 SUMMARY'!$C72,차량OE!AH:AH)</f>
        <v/>
      </c>
      <c r="Q72">
        <f>SUMIF(차량OE!$BF:$BF,'제품군별 SUMMARY'!$C72,차량OE!AI:AI)/1000000</f>
        <v/>
      </c>
      <c r="R72">
        <f>SUMIF(차량OE!$BF:$BF,'제품군별 SUMMARY'!$C72,차량OE!AK:AK)</f>
        <v/>
      </c>
      <c r="S72">
        <f>SUMIF(차량OE!$BF:$BF,'제품군별 SUMMARY'!$C72,차량OE!AL:AL)/1000000</f>
        <v/>
      </c>
      <c r="T72">
        <f>SUMIF(차량OE!$BF:$BF,'제품군별 SUMMARY'!$C72,차량OE!AN:AN)</f>
        <v/>
      </c>
      <c r="U72">
        <f>SUMIF(차량OE!$BF:$BF,'제품군별 SUMMARY'!$C72,차량OE!AO:AO)/1000000</f>
        <v/>
      </c>
      <c r="V72">
        <f>SUMIF(차량OE!$BF:$BF,'제품군별 SUMMARY'!$C72,차량OE!AQ:AQ)</f>
        <v/>
      </c>
      <c r="W72">
        <f>SUMIF(차량OE!$BF:$BF,'제품군별 SUMMARY'!$C72,차량OE!AR:AR)/1000000</f>
        <v/>
      </c>
      <c r="X72">
        <f>SUMIF(차량OE!$BF:$BF,'제품군별 SUMMARY'!$C72,차량OE!AT:AT)</f>
        <v/>
      </c>
      <c r="Y72">
        <f>SUMIF(차량OE!$BF:$BF,'제품군별 SUMMARY'!$C72,차량OE!AU:AU)/1000000</f>
        <v/>
      </c>
      <c r="Z72">
        <f>SUMIF(차량OE!$BF:$BF,'제품군별 SUMMARY'!$C72,차량OE!AW:AW)</f>
        <v/>
      </c>
      <c r="AA72">
        <f>SUMIF(차량OE!$BF:$BF,'제품군별 SUMMARY'!$C72,차량OE!AX:AX)/1000000</f>
        <v/>
      </c>
    </row>
    <row r="73">
      <c r="B73" t="inlineStr">
        <is>
          <t>소계</t>
        </is>
      </c>
      <c r="D73">
        <f>SUM(D59:D72)</f>
        <v/>
      </c>
      <c r="E73">
        <f>SUM(E59:E72)</f>
        <v/>
      </c>
      <c r="F73">
        <f>SUM(F59:F72)</f>
        <v/>
      </c>
      <c r="G73">
        <f>SUM(G59:G72)</f>
        <v/>
      </c>
      <c r="H73">
        <f>SUM(H59:H72)</f>
        <v/>
      </c>
      <c r="I73">
        <f>SUM(I59:I72)</f>
        <v/>
      </c>
      <c r="J73">
        <f>SUM(J59:J72)</f>
        <v/>
      </c>
      <c r="K73">
        <f>SUM(K59:K72)</f>
        <v/>
      </c>
      <c r="L73">
        <f>SUM(L59:L72)</f>
        <v/>
      </c>
      <c r="M73">
        <f>SUM(M59:M72)</f>
        <v/>
      </c>
      <c r="N73">
        <f>SUM(N59:N72)</f>
        <v/>
      </c>
      <c r="O73">
        <f>SUM(O59:O72)</f>
        <v/>
      </c>
      <c r="P73">
        <f>SUM(P59:P72)</f>
        <v/>
      </c>
      <c r="Q73">
        <f>SUM(Q59:Q72)</f>
        <v/>
      </c>
      <c r="R73">
        <f>SUM(R59:R72)</f>
        <v/>
      </c>
      <c r="S73">
        <f>SUM(S59:S72)</f>
        <v/>
      </c>
      <c r="T73">
        <f>SUM(T59:T72)</f>
        <v/>
      </c>
      <c r="U73">
        <f>SUM(U59:U72)</f>
        <v/>
      </c>
      <c r="V73">
        <f>SUM(V59:V72)</f>
        <v/>
      </c>
      <c r="W73">
        <f>SUM(W59:W72)</f>
        <v/>
      </c>
      <c r="X73">
        <f>SUM(X59:X72)</f>
        <v/>
      </c>
      <c r="Y73">
        <f>SUM(Y59:Y72)</f>
        <v/>
      </c>
      <c r="Z73">
        <f>SUM(Z59:Z72)</f>
        <v/>
      </c>
      <c r="AA73">
        <f>SUM(AA59:AA72)</f>
        <v/>
      </c>
    </row>
    <row r="74">
      <c r="A74" t="inlineStr">
        <is>
          <t>국내영업본부 합 계</t>
        </is>
      </c>
      <c r="D74">
        <f>D18+D42+D58+D73</f>
        <v/>
      </c>
      <c r="E74">
        <f>E18+E42+E58+E73</f>
        <v/>
      </c>
      <c r="F74">
        <f>F18+F42+F58+F73</f>
        <v/>
      </c>
      <c r="G74">
        <f>G18+G42+G58+G73</f>
        <v/>
      </c>
      <c r="H74">
        <f>H18+H42+H58+H73</f>
        <v/>
      </c>
      <c r="I74">
        <f>I18+I42+I58+I73</f>
        <v/>
      </c>
      <c r="J74">
        <f>J18+J42+J58+J73</f>
        <v/>
      </c>
      <c r="K74">
        <f>K18+K42+K58+K73</f>
        <v/>
      </c>
      <c r="L74">
        <f>L18+L42+L58+L73</f>
        <v/>
      </c>
      <c r="M74">
        <f>M18+M42+M58+M73</f>
        <v/>
      </c>
      <c r="N74">
        <f>N18+N42+N58+N73</f>
        <v/>
      </c>
      <c r="O74">
        <f>O18+O42+O58+O73</f>
        <v/>
      </c>
      <c r="P74">
        <f>P18+P42+P58+P73</f>
        <v/>
      </c>
      <c r="Q74">
        <f>Q18+Q42+Q58+Q73</f>
        <v/>
      </c>
      <c r="R74">
        <f>R18+R42+R58+R73</f>
        <v/>
      </c>
      <c r="S74">
        <f>S18+S42+S58+S73</f>
        <v/>
      </c>
      <c r="T74">
        <f>T18+T42+T58+T73</f>
        <v/>
      </c>
      <c r="U74">
        <f>U18+U42+U58+U73</f>
        <v/>
      </c>
      <c r="V74">
        <f>V18+V42+V58+V73</f>
        <v/>
      </c>
      <c r="W74">
        <f>W18+W42+W58+W73</f>
        <v/>
      </c>
      <c r="X74">
        <f>X18+X42+X58+X73</f>
        <v/>
      </c>
      <c r="Y74">
        <f>Y18+Y42+Y58+Y73</f>
        <v/>
      </c>
      <c r="Z74">
        <f>Z18+Z42+Z58+Z73</f>
        <v/>
      </c>
      <c r="AA74">
        <f>AA18+AA42+AA58+AA73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F4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</cols>
  <sheetData>
    <row r="2">
      <c r="A2" s="1" t="inlineStr">
        <is>
          <t xml:space="preserve"> 2026년 산전 고정형 판매계획 (더미데이터)</t>
        </is>
      </c>
    </row>
    <row r="6">
      <c r="A6" s="2" t="inlineStr">
        <is>
          <t>1. 기본정보</t>
        </is>
      </c>
    </row>
    <row r="7">
      <c r="A7" s="3" t="inlineStr">
        <is>
          <t>구분</t>
        </is>
      </c>
      <c r="B7" s="3" t="inlineStr">
        <is>
          <t>25년 8월 누계</t>
        </is>
      </c>
      <c r="C7" s="3" t="inlineStr">
        <is>
          <t>26년 경영계획</t>
        </is>
      </c>
      <c r="D7" s="3" t="inlineStr">
        <is>
          <t>증감율</t>
        </is>
      </c>
    </row>
    <row r="8">
      <c r="A8" t="inlineStr">
        <is>
          <t>LME</t>
        </is>
      </c>
      <c r="B8" t="n">
        <v>2055.77</v>
      </c>
      <c r="C8" t="n">
        <v>1810</v>
      </c>
      <c r="D8">
        <f>C8/B8-1</f>
        <v/>
      </c>
    </row>
    <row r="9">
      <c r="A9" t="inlineStr">
        <is>
          <t>USD</t>
        </is>
      </c>
      <c r="B9" t="n">
        <v>1355.01</v>
      </c>
      <c r="C9" t="n">
        <v>1344.64</v>
      </c>
      <c r="D9">
        <f>C9/B9-1</f>
        <v/>
      </c>
    </row>
    <row r="10">
      <c r="A10" t="inlineStr">
        <is>
          <t>지수</t>
        </is>
      </c>
      <c r="B10">
        <f>B8*B9/1000</f>
        <v/>
      </c>
      <c r="C10">
        <f>C8*C9/1000</f>
        <v/>
      </c>
      <c r="D10">
        <f>C10/B10-1</f>
        <v/>
      </c>
      <c r="I10" t="inlineStr">
        <is>
          <t>※ 더미데이터 안내</t>
        </is>
      </c>
    </row>
    <row r="11">
      <c r="A11" t="inlineStr">
        <is>
          <t>JPY</t>
        </is>
      </c>
      <c r="B11" t="n">
        <v>1010.47</v>
      </c>
      <c r="C11" t="n">
        <v>1001.5</v>
      </c>
      <c r="D11">
        <f>C11/B11-1</f>
        <v/>
      </c>
      <c r="I11" t="inlineStr">
        <is>
          <t>- 본 파일은 판매계획 양식.xlsx의 스키마(시트/컬럼/수식 구조)를 참고하여 생성한 가상 데이터입니다.</t>
        </is>
      </c>
    </row>
    <row r="12">
      <c r="A12" t="inlineStr">
        <is>
          <t>EUR</t>
        </is>
      </c>
      <c r="B12" t="n">
        <v>1633.83</v>
      </c>
      <c r="C12" t="n">
        <v>1513.04</v>
      </c>
      <c r="D12">
        <f>C12/B12-1</f>
        <v/>
      </c>
      <c r="I12" t="inlineStr">
        <is>
          <t>- 거래처명, 담당자명, 코드, 수량/금액은 전부 무작위로 생성된 값이며 실제 데이터와 무관합니다.</t>
        </is>
      </c>
    </row>
    <row r="15">
      <c r="A15" t="inlineStr">
        <is>
          <t>2026년 판매계획 (더미데이터) - 담당/거래처/수량/금액은 모두 가상 값</t>
        </is>
      </c>
    </row>
    <row r="16">
      <c r="A16" t="inlineStr">
        <is>
          <t>구분</t>
        </is>
      </c>
      <c r="L16" t="inlineStr">
        <is>
          <t>25년 8월 누계</t>
        </is>
      </c>
      <c r="O16" t="inlineStr">
        <is>
          <t>1월</t>
        </is>
      </c>
      <c r="R16" t="inlineStr">
        <is>
          <t>2월</t>
        </is>
      </c>
      <c r="U16" t="inlineStr">
        <is>
          <t>3월</t>
        </is>
      </c>
      <c r="X16" t="inlineStr">
        <is>
          <t>4월</t>
        </is>
      </c>
      <c r="AA16" t="inlineStr">
        <is>
          <t>5월</t>
        </is>
      </c>
      <c r="AD16" t="inlineStr">
        <is>
          <t>6월</t>
        </is>
      </c>
      <c r="AG16" t="inlineStr">
        <is>
          <t>7월</t>
        </is>
      </c>
      <c r="AJ16" t="inlineStr">
        <is>
          <t>8월</t>
        </is>
      </c>
      <c r="AM16" t="inlineStr">
        <is>
          <t>9월</t>
        </is>
      </c>
      <c r="AP16" t="inlineStr">
        <is>
          <t>10월</t>
        </is>
      </c>
      <c r="AS16" t="inlineStr">
        <is>
          <t>11월</t>
        </is>
      </c>
      <c r="AV16" t="inlineStr">
        <is>
          <t>12월</t>
        </is>
      </c>
    </row>
    <row r="17">
      <c r="A17" s="4" t="inlineStr">
        <is>
          <t>담당</t>
        </is>
      </c>
      <c r="B17" s="4" t="inlineStr">
        <is>
          <t>팀</t>
        </is>
      </c>
      <c r="C17" s="4" t="inlineStr">
        <is>
          <t>유통채널</t>
        </is>
      </c>
      <c r="D17" s="4" t="inlineStr">
        <is>
          <t>고객</t>
        </is>
      </c>
      <c r="E17" s="4" t="inlineStr">
        <is>
          <t>고객명</t>
        </is>
      </c>
      <c r="F17" s="4" t="inlineStr">
        <is>
          <t>납품처</t>
        </is>
      </c>
      <c r="G17" s="4" t="inlineStr">
        <is>
          <t>납품처명</t>
        </is>
      </c>
      <c r="H17" s="4" t="inlineStr">
        <is>
          <t>영업담당</t>
        </is>
      </c>
      <c r="I17" s="4" t="inlineStr">
        <is>
          <t>구분</t>
        </is>
      </c>
      <c r="J17" s="4" t="inlineStr">
        <is>
          <t>제품군 구분</t>
        </is>
      </c>
      <c r="K17" s="4" t="inlineStr">
        <is>
          <t>제품코드</t>
        </is>
      </c>
      <c r="L17" s="4" t="inlineStr">
        <is>
          <t>판가</t>
        </is>
      </c>
      <c r="M17" s="4" t="inlineStr">
        <is>
          <t>수량</t>
        </is>
      </c>
      <c r="N17" s="4" t="inlineStr">
        <is>
          <t>금액</t>
        </is>
      </c>
      <c r="O17" s="4" t="inlineStr">
        <is>
          <t>1월 판가</t>
        </is>
      </c>
      <c r="P17" s="4" t="inlineStr">
        <is>
          <t>1월 수량</t>
        </is>
      </c>
      <c r="Q17" s="4" t="inlineStr">
        <is>
          <t>1월 금액</t>
        </is>
      </c>
      <c r="R17" s="4" t="inlineStr">
        <is>
          <t>2월 판가</t>
        </is>
      </c>
      <c r="S17" s="4" t="inlineStr">
        <is>
          <t>2월 수량</t>
        </is>
      </c>
      <c r="T17" s="4" t="inlineStr">
        <is>
          <t>2월 금액</t>
        </is>
      </c>
      <c r="U17" s="4" t="inlineStr">
        <is>
          <t>3월 판가</t>
        </is>
      </c>
      <c r="V17" s="4" t="inlineStr">
        <is>
          <t>3월 수량</t>
        </is>
      </c>
      <c r="W17" s="4" t="inlineStr">
        <is>
          <t>3월 금액</t>
        </is>
      </c>
      <c r="X17" s="4" t="inlineStr">
        <is>
          <t>4월 판가</t>
        </is>
      </c>
      <c r="Y17" s="4" t="inlineStr">
        <is>
          <t>4월 수량</t>
        </is>
      </c>
      <c r="Z17" s="4" t="inlineStr">
        <is>
          <t>4월 금액</t>
        </is>
      </c>
      <c r="AA17" s="4" t="inlineStr">
        <is>
          <t>5월 판가</t>
        </is>
      </c>
      <c r="AB17" s="4" t="inlineStr">
        <is>
          <t>5월 수량</t>
        </is>
      </c>
      <c r="AC17" s="4" t="inlineStr">
        <is>
          <t>5월 금액</t>
        </is>
      </c>
      <c r="AD17" s="4" t="inlineStr">
        <is>
          <t>6월 판가</t>
        </is>
      </c>
      <c r="AE17" s="4" t="inlineStr">
        <is>
          <t>6월 수량</t>
        </is>
      </c>
      <c r="AF17" s="4" t="inlineStr">
        <is>
          <t>6월 금액</t>
        </is>
      </c>
      <c r="AG17" s="4" t="inlineStr">
        <is>
          <t>7월 판가</t>
        </is>
      </c>
      <c r="AH17" s="4" t="inlineStr">
        <is>
          <t>7월 수량</t>
        </is>
      </c>
      <c r="AI17" s="4" t="inlineStr">
        <is>
          <t>7월 금액</t>
        </is>
      </c>
      <c r="AJ17" s="4" t="inlineStr">
        <is>
          <t>8월 판가</t>
        </is>
      </c>
      <c r="AK17" s="4" t="inlineStr">
        <is>
          <t>8월 수량</t>
        </is>
      </c>
      <c r="AL17" s="4" t="inlineStr">
        <is>
          <t>8월 금액</t>
        </is>
      </c>
      <c r="AM17" s="4" t="inlineStr">
        <is>
          <t>9월 판가</t>
        </is>
      </c>
      <c r="AN17" s="4" t="inlineStr">
        <is>
          <t>9월 수량</t>
        </is>
      </c>
      <c r="AO17" s="4" t="inlineStr">
        <is>
          <t>9월 금액</t>
        </is>
      </c>
      <c r="AP17" s="4" t="inlineStr">
        <is>
          <t>10월 판가</t>
        </is>
      </c>
      <c r="AQ17" s="4" t="inlineStr">
        <is>
          <t>10월 수량</t>
        </is>
      </c>
      <c r="AR17" s="4" t="inlineStr">
        <is>
          <t>10월 금액</t>
        </is>
      </c>
      <c r="AS17" s="4" t="inlineStr">
        <is>
          <t>11월 판가</t>
        </is>
      </c>
      <c r="AT17" s="4" t="inlineStr">
        <is>
          <t>11월 수량</t>
        </is>
      </c>
      <c r="AU17" s="4" t="inlineStr">
        <is>
          <t>11월 금액</t>
        </is>
      </c>
      <c r="AV17" s="4" t="inlineStr">
        <is>
          <t>12월 판가</t>
        </is>
      </c>
      <c r="AW17" s="4" t="inlineStr">
        <is>
          <t>12월 수량</t>
        </is>
      </c>
      <c r="AX17" s="4" t="inlineStr">
        <is>
          <t>12월 금액</t>
        </is>
      </c>
      <c r="AY17" s="4" t="inlineStr">
        <is>
          <t>연평균판가</t>
        </is>
      </c>
      <c r="AZ17" s="4" t="inlineStr">
        <is>
          <t>연간수량합계</t>
        </is>
      </c>
      <c r="BA17" s="4" t="inlineStr">
        <is>
          <t>연간금액합계</t>
        </is>
      </c>
      <c r="BB17" s="4" t="inlineStr">
        <is>
          <t>판가차이</t>
        </is>
      </c>
      <c r="BC17" s="4" t="inlineStr">
        <is>
          <t>차이율</t>
        </is>
      </c>
      <c r="BD17" s="4" t="inlineStr">
        <is>
          <t>비고</t>
        </is>
      </c>
      <c r="BF17" s="4" t="inlineStr">
        <is>
          <t>본부보고용(제품군 매핑)</t>
        </is>
      </c>
    </row>
    <row r="18">
      <c r="A18" t="inlineStr">
        <is>
          <t>산전 영업부문</t>
        </is>
      </c>
      <c r="B18" t="inlineStr">
        <is>
          <t>산전 고정형</t>
        </is>
      </c>
      <c r="C18">
        <f>D18&amp;J18</f>
        <v/>
      </c>
      <c r="D18" t="n">
        <v>9078908</v>
      </c>
      <c r="E18" t="inlineStr">
        <is>
          <t>참좋은상사D</t>
        </is>
      </c>
      <c r="F18" t="n">
        <v>9078908</v>
      </c>
      <c r="G18" t="inlineStr">
        <is>
          <t>참좋은상사D</t>
        </is>
      </c>
      <c r="H18" t="inlineStr">
        <is>
          <t>윤재원</t>
        </is>
      </c>
      <c r="I18" t="inlineStr">
        <is>
          <t>상품</t>
        </is>
      </c>
      <c r="J18" t="inlineStr">
        <is>
          <t>LM</t>
        </is>
      </c>
      <c r="L18" t="n">
        <v>243781.98</v>
      </c>
      <c r="M18" t="n">
        <v>63</v>
      </c>
      <c r="N18">
        <f>L18*M18</f>
        <v/>
      </c>
      <c r="O18" t="n">
        <v>256400.49</v>
      </c>
      <c r="P18" t="n">
        <v>50</v>
      </c>
      <c r="Q18">
        <f>O18*P18</f>
        <v/>
      </c>
      <c r="R18" t="n">
        <v>240008.94</v>
      </c>
      <c r="S18" t="n">
        <v>55</v>
      </c>
      <c r="T18">
        <f>R18*S18</f>
        <v/>
      </c>
      <c r="U18" t="n">
        <v>229901.71</v>
      </c>
      <c r="V18" t="n">
        <v>73</v>
      </c>
      <c r="W18">
        <f>U18*V18</f>
        <v/>
      </c>
      <c r="X18" t="n">
        <v>224387.19</v>
      </c>
      <c r="Y18" t="n">
        <v>58</v>
      </c>
      <c r="Z18">
        <f>X18*Y18</f>
        <v/>
      </c>
      <c r="AA18" t="n">
        <v>236906.32</v>
      </c>
      <c r="AB18" t="n">
        <v>57</v>
      </c>
      <c r="AC18">
        <f>AA18*AB18</f>
        <v/>
      </c>
      <c r="AD18" t="n">
        <v>232300.87</v>
      </c>
      <c r="AE18" t="n">
        <v>46</v>
      </c>
      <c r="AF18">
        <f>AD18*AE18</f>
        <v/>
      </c>
      <c r="AG18" t="n">
        <v>241803.68</v>
      </c>
      <c r="AH18" t="n">
        <v>49</v>
      </c>
      <c r="AI18">
        <f>AG18*AH18</f>
        <v/>
      </c>
      <c r="AJ18" t="n">
        <v>264371.58</v>
      </c>
      <c r="AK18" t="n">
        <v>47</v>
      </c>
      <c r="AL18">
        <f>AJ18*AK18</f>
        <v/>
      </c>
      <c r="AM18" t="n">
        <v>233698.1</v>
      </c>
      <c r="AN18" t="n">
        <v>68</v>
      </c>
      <c r="AO18">
        <f>AM18*AN18</f>
        <v/>
      </c>
      <c r="AP18" t="n">
        <v>262575.22</v>
      </c>
      <c r="AQ18" t="n">
        <v>58</v>
      </c>
      <c r="AR18">
        <f>AP18*AQ18</f>
        <v/>
      </c>
      <c r="AS18" t="n">
        <v>228779.08</v>
      </c>
      <c r="AT18" t="n">
        <v>47</v>
      </c>
      <c r="AU18">
        <f>AS18*AT18</f>
        <v/>
      </c>
      <c r="AV18" t="n">
        <v>251644.6</v>
      </c>
      <c r="AW18" t="n">
        <v>73</v>
      </c>
      <c r="AX18">
        <f>AV18*AW18</f>
        <v/>
      </c>
      <c r="AY18">
        <f>IFERROR(BA18/AZ18,0)</f>
        <v/>
      </c>
      <c r="AZ18">
        <f>SUM(P18,S18,V18,Y18,AB18,AE18,AH18,AK18,AN18,AQ18,AT18,AW18)</f>
        <v/>
      </c>
      <c r="BA18">
        <f>SUM(Q18,T18,W18,Z18,AC18,AF18,AI18,AL18,AO18,AR18,AU18,AX18)</f>
        <v/>
      </c>
      <c r="BB18">
        <f>AY18-L18</f>
        <v/>
      </c>
      <c r="BC18">
        <f>IFERROR(BB18/L18,0)</f>
        <v/>
      </c>
      <c r="BF18">
        <f>VLOOKUP("고정형"&amp;J18,인자!A:D,4,0)</f>
        <v/>
      </c>
    </row>
    <row r="19">
      <c r="A19" t="inlineStr">
        <is>
          <t>산전 영업부문</t>
        </is>
      </c>
      <c r="B19" t="inlineStr">
        <is>
          <t>산전 고정형</t>
        </is>
      </c>
      <c r="C19">
        <f>D19&amp;J19</f>
        <v/>
      </c>
      <c r="D19" t="n">
        <v>9012281</v>
      </c>
      <c r="E19" t="inlineStr">
        <is>
          <t>가상상사B</t>
        </is>
      </c>
      <c r="F19" t="n">
        <v>9012281</v>
      </c>
      <c r="G19" t="inlineStr">
        <is>
          <t>가상상사B</t>
        </is>
      </c>
      <c r="H19" t="inlineStr">
        <is>
          <t>권나윤</t>
        </is>
      </c>
      <c r="I19" t="inlineStr">
        <is>
          <t>광주</t>
        </is>
      </c>
      <c r="J19" t="inlineStr">
        <is>
          <t>ES 소형</t>
        </is>
      </c>
      <c r="L19" t="n">
        <v>117137.24</v>
      </c>
      <c r="M19" t="n">
        <v>3724</v>
      </c>
      <c r="N19">
        <f>L19*M19</f>
        <v/>
      </c>
      <c r="O19" t="n">
        <v>120315.98</v>
      </c>
      <c r="P19" t="n">
        <v>3422</v>
      </c>
      <c r="Q19">
        <f>O19*P19</f>
        <v/>
      </c>
      <c r="R19" t="n">
        <v>114095.91</v>
      </c>
      <c r="S19" t="n">
        <v>3075</v>
      </c>
      <c r="T19">
        <f>R19*S19</f>
        <v/>
      </c>
      <c r="U19" t="n">
        <v>111678.13</v>
      </c>
      <c r="V19" t="n">
        <v>4700</v>
      </c>
      <c r="W19">
        <f>U19*V19</f>
        <v/>
      </c>
      <c r="X19" t="n">
        <v>120605.33</v>
      </c>
      <c r="Y19" t="n">
        <v>3968</v>
      </c>
      <c r="Z19">
        <f>X19*Y19</f>
        <v/>
      </c>
      <c r="AA19" t="n">
        <v>109432.86</v>
      </c>
      <c r="AB19" t="n">
        <v>4236</v>
      </c>
      <c r="AC19">
        <f>AA19*AB19</f>
        <v/>
      </c>
      <c r="AD19" t="n">
        <v>109251.62</v>
      </c>
      <c r="AE19" t="n">
        <v>3455</v>
      </c>
      <c r="AF19">
        <f>AD19*AE19</f>
        <v/>
      </c>
      <c r="AG19" t="n">
        <v>128605.52</v>
      </c>
      <c r="AH19" t="n">
        <v>4037</v>
      </c>
      <c r="AI19">
        <f>AG19*AH19</f>
        <v/>
      </c>
      <c r="AJ19" t="n">
        <v>118471.43</v>
      </c>
      <c r="AK19" t="n">
        <v>4137</v>
      </c>
      <c r="AL19">
        <f>AJ19*AK19</f>
        <v/>
      </c>
      <c r="AM19" t="n">
        <v>125169.39</v>
      </c>
      <c r="AN19" t="n">
        <v>4341</v>
      </c>
      <c r="AO19">
        <f>AM19*AN19</f>
        <v/>
      </c>
      <c r="AP19" t="n">
        <v>110789.53</v>
      </c>
      <c r="AQ19" t="n">
        <v>2679</v>
      </c>
      <c r="AR19">
        <f>AP19*AQ19</f>
        <v/>
      </c>
      <c r="AS19" t="n">
        <v>112813.78</v>
      </c>
      <c r="AT19" t="n">
        <v>3205</v>
      </c>
      <c r="AU19">
        <f>AS19*AT19</f>
        <v/>
      </c>
      <c r="AV19" t="n">
        <v>110366.31</v>
      </c>
      <c r="AW19" t="n">
        <v>4714</v>
      </c>
      <c r="AX19">
        <f>AV19*AW19</f>
        <v/>
      </c>
      <c r="AY19">
        <f>IFERROR(BA19/AZ19,0)</f>
        <v/>
      </c>
      <c r="AZ19">
        <f>SUM(P19,S19,V19,Y19,AB19,AE19,AH19,AK19,AN19,AQ19,AT19,AW19)</f>
        <v/>
      </c>
      <c r="BA19">
        <f>SUM(Q19,T19,W19,Z19,AC19,AF19,AI19,AL19,AO19,AR19,AU19,AX19)</f>
        <v/>
      </c>
      <c r="BB19">
        <f>AY19-L19</f>
        <v/>
      </c>
      <c r="BC19">
        <f>IFERROR(BB19/L19,0)</f>
        <v/>
      </c>
      <c r="BF19">
        <f>VLOOKUP("고정형"&amp;J19,인자!A:D,4,0)</f>
        <v/>
      </c>
    </row>
    <row r="20">
      <c r="A20" t="inlineStr">
        <is>
          <t>산전 영업부문</t>
        </is>
      </c>
      <c r="B20" t="inlineStr">
        <is>
          <t>산전 고정형</t>
        </is>
      </c>
      <c r="C20">
        <f>D20&amp;J20</f>
        <v/>
      </c>
      <c r="D20" t="n">
        <v>9093851</v>
      </c>
      <c r="E20" t="inlineStr">
        <is>
          <t>한빛파워F</t>
        </is>
      </c>
      <c r="F20" t="n">
        <v>9093851</v>
      </c>
      <c r="G20" t="inlineStr">
        <is>
          <t>한빛파워F</t>
        </is>
      </c>
      <c r="H20" t="inlineStr">
        <is>
          <t>최지우</t>
        </is>
      </c>
      <c r="I20" t="inlineStr">
        <is>
          <t>상품</t>
        </is>
      </c>
      <c r="J20" t="inlineStr">
        <is>
          <t>RP 대형</t>
        </is>
      </c>
      <c r="L20" t="n">
        <v>121711.41</v>
      </c>
      <c r="M20" t="n">
        <v>3768</v>
      </c>
      <c r="N20">
        <f>L20*M20</f>
        <v/>
      </c>
      <c r="O20" t="n">
        <v>113018.09</v>
      </c>
      <c r="P20" t="n">
        <v>2953</v>
      </c>
      <c r="Q20">
        <f>O20*P20</f>
        <v/>
      </c>
      <c r="R20" t="n">
        <v>127675</v>
      </c>
      <c r="S20" t="n">
        <v>3856</v>
      </c>
      <c r="T20">
        <f>R20*S20</f>
        <v/>
      </c>
      <c r="U20" t="n">
        <v>127724.29</v>
      </c>
      <c r="V20" t="n">
        <v>3606</v>
      </c>
      <c r="W20">
        <f>U20*V20</f>
        <v/>
      </c>
      <c r="X20" t="n">
        <v>123744.79</v>
      </c>
      <c r="Y20" t="n">
        <v>3456</v>
      </c>
      <c r="Z20">
        <f>X20*Y20</f>
        <v/>
      </c>
      <c r="AA20" t="n">
        <v>133817.45</v>
      </c>
      <c r="AB20" t="n">
        <v>2950</v>
      </c>
      <c r="AC20">
        <f>AA20*AB20</f>
        <v/>
      </c>
      <c r="AD20" t="n">
        <v>121553.57</v>
      </c>
      <c r="AE20" t="n">
        <v>4346</v>
      </c>
      <c r="AF20">
        <f>AD20*AE20</f>
        <v/>
      </c>
      <c r="AG20" t="n">
        <v>130501.48</v>
      </c>
      <c r="AH20" t="n">
        <v>2983</v>
      </c>
      <c r="AI20">
        <f>AG20*AH20</f>
        <v/>
      </c>
      <c r="AJ20" t="n">
        <v>113434.6</v>
      </c>
      <c r="AK20" t="n">
        <v>4176</v>
      </c>
      <c r="AL20">
        <f>AJ20*AK20</f>
        <v/>
      </c>
      <c r="AM20" t="n">
        <v>124058.23</v>
      </c>
      <c r="AN20" t="n">
        <v>3507</v>
      </c>
      <c r="AO20">
        <f>AM20*AN20</f>
        <v/>
      </c>
      <c r="AP20" t="n">
        <v>124045.55</v>
      </c>
      <c r="AQ20" t="n">
        <v>3696</v>
      </c>
      <c r="AR20">
        <f>AP20*AQ20</f>
        <v/>
      </c>
      <c r="AS20" t="n">
        <v>115660.26</v>
      </c>
      <c r="AT20" t="n">
        <v>3888</v>
      </c>
      <c r="AU20">
        <f>AS20*AT20</f>
        <v/>
      </c>
      <c r="AV20" t="n">
        <v>132481.19</v>
      </c>
      <c r="AW20" t="n">
        <v>4176</v>
      </c>
      <c r="AX20">
        <f>AV20*AW20</f>
        <v/>
      </c>
      <c r="AY20">
        <f>IFERROR(BA20/AZ20,0)</f>
        <v/>
      </c>
      <c r="AZ20">
        <f>SUM(P20,S20,V20,Y20,AB20,AE20,AH20,AK20,AN20,AQ20,AT20,AW20)</f>
        <v/>
      </c>
      <c r="BA20">
        <f>SUM(Q20,T20,W20,Z20,AC20,AF20,AI20,AL20,AO20,AR20,AU20,AX20)</f>
        <v/>
      </c>
      <c r="BB20">
        <f>AY20-L20</f>
        <v/>
      </c>
      <c r="BC20">
        <f>IFERROR(BB20/L20,0)</f>
        <v/>
      </c>
      <c r="BF20">
        <f>VLOOKUP("고정형"&amp;J20,인자!A:D,4,0)</f>
        <v/>
      </c>
    </row>
    <row r="21">
      <c r="A21" t="inlineStr">
        <is>
          <t>산전 영업부문</t>
        </is>
      </c>
      <c r="B21" t="inlineStr">
        <is>
          <t>산전 고정형</t>
        </is>
      </c>
      <c r="C21">
        <f>D21&amp;J21</f>
        <v/>
      </c>
      <c r="D21" t="n">
        <v>9012281</v>
      </c>
      <c r="E21" t="inlineStr">
        <is>
          <t>가상상사B</t>
        </is>
      </c>
      <c r="F21" t="n">
        <v>9012281</v>
      </c>
      <c r="G21" t="inlineStr">
        <is>
          <t>가상상사B</t>
        </is>
      </c>
      <c r="H21" t="inlineStr">
        <is>
          <t>한지호</t>
        </is>
      </c>
      <c r="I21" t="inlineStr">
        <is>
          <t>상품</t>
        </is>
      </c>
      <c r="J21" t="inlineStr">
        <is>
          <t>LM</t>
        </is>
      </c>
      <c r="L21" t="n">
        <v>231736.63</v>
      </c>
      <c r="M21" t="n">
        <v>2796</v>
      </c>
      <c r="N21">
        <f>L21*M21</f>
        <v/>
      </c>
      <c r="O21" t="n">
        <v>213733.11</v>
      </c>
      <c r="P21" t="n">
        <v>2687</v>
      </c>
      <c r="Q21">
        <f>O21*P21</f>
        <v/>
      </c>
      <c r="R21" t="n">
        <v>229591.85</v>
      </c>
      <c r="S21" t="n">
        <v>3557</v>
      </c>
      <c r="T21">
        <f>R21*S21</f>
        <v/>
      </c>
      <c r="U21" t="n">
        <v>249156.41</v>
      </c>
      <c r="V21" t="n">
        <v>2399</v>
      </c>
      <c r="W21">
        <f>U21*V21</f>
        <v/>
      </c>
      <c r="X21" t="n">
        <v>231763.79</v>
      </c>
      <c r="Y21" t="n">
        <v>2257</v>
      </c>
      <c r="Z21">
        <f>X21*Y21</f>
        <v/>
      </c>
      <c r="AA21" t="n">
        <v>250860.83</v>
      </c>
      <c r="AB21" t="n">
        <v>3418</v>
      </c>
      <c r="AC21">
        <f>AA21*AB21</f>
        <v/>
      </c>
      <c r="AD21" t="n">
        <v>222395.09</v>
      </c>
      <c r="AE21" t="n">
        <v>3029</v>
      </c>
      <c r="AF21">
        <f>AD21*AE21</f>
        <v/>
      </c>
      <c r="AG21" t="n">
        <v>236787.11</v>
      </c>
      <c r="AH21" t="n">
        <v>2214</v>
      </c>
      <c r="AI21">
        <f>AG21*AH21</f>
        <v/>
      </c>
      <c r="AJ21" t="n">
        <v>243903.3</v>
      </c>
      <c r="AK21" t="n">
        <v>2862</v>
      </c>
      <c r="AL21">
        <f>AJ21*AK21</f>
        <v/>
      </c>
      <c r="AM21" t="n">
        <v>244650.22</v>
      </c>
      <c r="AN21" t="n">
        <v>2847</v>
      </c>
      <c r="AO21">
        <f>AM21*AN21</f>
        <v/>
      </c>
      <c r="AP21" t="n">
        <v>208589.47</v>
      </c>
      <c r="AQ21" t="n">
        <v>2501</v>
      </c>
      <c r="AR21">
        <f>AP21*AQ21</f>
        <v/>
      </c>
      <c r="AS21" t="n">
        <v>209465.66</v>
      </c>
      <c r="AT21" t="n">
        <v>3516</v>
      </c>
      <c r="AU21">
        <f>AS21*AT21</f>
        <v/>
      </c>
      <c r="AV21" t="n">
        <v>249289.38</v>
      </c>
      <c r="AW21" t="n">
        <v>3352</v>
      </c>
      <c r="AX21">
        <f>AV21*AW21</f>
        <v/>
      </c>
      <c r="AY21">
        <f>IFERROR(BA21/AZ21,0)</f>
        <v/>
      </c>
      <c r="AZ21">
        <f>SUM(P21,S21,V21,Y21,AB21,AE21,AH21,AK21,AN21,AQ21,AT21,AW21)</f>
        <v/>
      </c>
      <c r="BA21">
        <f>SUM(Q21,T21,W21,Z21,AC21,AF21,AI21,AL21,AO21,AR21,AU21,AX21)</f>
        <v/>
      </c>
      <c r="BB21">
        <f>AY21-L21</f>
        <v/>
      </c>
      <c r="BC21">
        <f>IFERROR(BB21/L21,0)</f>
        <v/>
      </c>
      <c r="BF21">
        <f>VLOOKUP("고정형"&amp;J21,인자!A:D,4,0)</f>
        <v/>
      </c>
    </row>
    <row r="22">
      <c r="A22" t="inlineStr">
        <is>
          <t>산전 영업부문</t>
        </is>
      </c>
      <c r="B22" t="inlineStr">
        <is>
          <t>산전 고정형</t>
        </is>
      </c>
      <c r="C22">
        <f>D22&amp;J22</f>
        <v/>
      </c>
      <c r="D22" t="n">
        <v>9073564</v>
      </c>
      <c r="E22" t="inlineStr">
        <is>
          <t>가상상사E</t>
        </is>
      </c>
      <c r="F22" t="n">
        <v>9073564</v>
      </c>
      <c r="G22" t="inlineStr">
        <is>
          <t>가상상사E</t>
        </is>
      </c>
      <c r="H22" t="inlineStr">
        <is>
          <t>최지우</t>
        </is>
      </c>
      <c r="I22" t="inlineStr">
        <is>
          <t>광주</t>
        </is>
      </c>
      <c r="J22" t="inlineStr">
        <is>
          <t>GSL 중형</t>
        </is>
      </c>
      <c r="L22" t="n">
        <v>264012.83</v>
      </c>
      <c r="M22" t="n">
        <v>655</v>
      </c>
      <c r="N22">
        <f>L22*M22</f>
        <v/>
      </c>
      <c r="O22" t="n">
        <v>242134.27</v>
      </c>
      <c r="P22" t="n">
        <v>649</v>
      </c>
      <c r="Q22">
        <f>O22*P22</f>
        <v/>
      </c>
      <c r="R22" t="n">
        <v>241266.15</v>
      </c>
      <c r="S22" t="n">
        <v>757</v>
      </c>
      <c r="T22">
        <f>R22*S22</f>
        <v/>
      </c>
      <c r="U22" t="n">
        <v>278049.57</v>
      </c>
      <c r="V22" t="n">
        <v>509</v>
      </c>
      <c r="W22">
        <f>U22*V22</f>
        <v/>
      </c>
      <c r="X22" t="n">
        <v>262707.68</v>
      </c>
      <c r="Y22" t="n">
        <v>675</v>
      </c>
      <c r="Z22">
        <f>X22*Y22</f>
        <v/>
      </c>
      <c r="AA22" t="n">
        <v>251607.22</v>
      </c>
      <c r="AB22" t="n">
        <v>801</v>
      </c>
      <c r="AC22">
        <f>AA22*AB22</f>
        <v/>
      </c>
      <c r="AD22" t="n">
        <v>259954.32</v>
      </c>
      <c r="AE22" t="n">
        <v>542</v>
      </c>
      <c r="AF22">
        <f>AD22*AE22</f>
        <v/>
      </c>
      <c r="AG22" t="n">
        <v>266087.76</v>
      </c>
      <c r="AH22" t="n">
        <v>745</v>
      </c>
      <c r="AI22">
        <f>AG22*AH22</f>
        <v/>
      </c>
      <c r="AJ22" t="n">
        <v>248232.84</v>
      </c>
      <c r="AK22" t="n">
        <v>581</v>
      </c>
      <c r="AL22">
        <f>AJ22*AK22</f>
        <v/>
      </c>
      <c r="AM22" t="n">
        <v>290157.99</v>
      </c>
      <c r="AN22" t="n">
        <v>714</v>
      </c>
      <c r="AO22">
        <f>AM22*AN22</f>
        <v/>
      </c>
      <c r="AP22" t="n">
        <v>260744.36</v>
      </c>
      <c r="AQ22" t="n">
        <v>662</v>
      </c>
      <c r="AR22">
        <f>AP22*AQ22</f>
        <v/>
      </c>
      <c r="AS22" t="n">
        <v>244000.88</v>
      </c>
      <c r="AT22" t="n">
        <v>547</v>
      </c>
      <c r="AU22">
        <f>AS22*AT22</f>
        <v/>
      </c>
      <c r="AV22" t="n">
        <v>255463.33</v>
      </c>
      <c r="AW22" t="n">
        <v>690</v>
      </c>
      <c r="AX22">
        <f>AV22*AW22</f>
        <v/>
      </c>
      <c r="AY22">
        <f>IFERROR(BA22/AZ22,0)</f>
        <v/>
      </c>
      <c r="AZ22">
        <f>SUM(P22,S22,V22,Y22,AB22,AE22,AH22,AK22,AN22,AQ22,AT22,AW22)</f>
        <v/>
      </c>
      <c r="BA22">
        <f>SUM(Q22,T22,W22,Z22,AC22,AF22,AI22,AL22,AO22,AR22,AU22,AX22)</f>
        <v/>
      </c>
      <c r="BB22">
        <f>AY22-L22</f>
        <v/>
      </c>
      <c r="BC22">
        <f>IFERROR(BB22/L22,0)</f>
        <v/>
      </c>
      <c r="BF22">
        <f>VLOOKUP("고정형"&amp;J22,인자!A:D,4,0)</f>
        <v/>
      </c>
    </row>
    <row r="23">
      <c r="A23" t="inlineStr">
        <is>
          <t>산전 영업부문</t>
        </is>
      </c>
      <c r="B23" t="inlineStr">
        <is>
          <t>산전 고정형</t>
        </is>
      </c>
      <c r="C23">
        <f>D23&amp;J23</f>
        <v/>
      </c>
      <c r="D23" t="n">
        <v>9078908</v>
      </c>
      <c r="E23" t="inlineStr">
        <is>
          <t>참좋은상사D</t>
        </is>
      </c>
      <c r="F23" t="n">
        <v>9078908</v>
      </c>
      <c r="G23" t="inlineStr">
        <is>
          <t>참좋은상사D</t>
        </is>
      </c>
      <c r="H23" t="inlineStr">
        <is>
          <t>임도현</t>
        </is>
      </c>
      <c r="I23" t="inlineStr">
        <is>
          <t>광주</t>
        </is>
      </c>
      <c r="J23" t="inlineStr">
        <is>
          <t>CGS 소형</t>
        </is>
      </c>
      <c r="L23" t="n">
        <v>25942.96</v>
      </c>
      <c r="M23" t="n">
        <v>492</v>
      </c>
      <c r="N23">
        <f>L23*M23</f>
        <v/>
      </c>
      <c r="O23" t="n">
        <v>24536.55</v>
      </c>
      <c r="P23" t="n">
        <v>612</v>
      </c>
      <c r="Q23">
        <f>O23*P23</f>
        <v/>
      </c>
      <c r="R23" t="n">
        <v>27808.96</v>
      </c>
      <c r="S23" t="n">
        <v>365</v>
      </c>
      <c r="T23">
        <f>R23*S23</f>
        <v/>
      </c>
      <c r="U23" t="n">
        <v>24583.57</v>
      </c>
      <c r="V23" t="n">
        <v>542</v>
      </c>
      <c r="W23">
        <f>U23*V23</f>
        <v/>
      </c>
      <c r="X23" t="n">
        <v>24460.25</v>
      </c>
      <c r="Y23" t="n">
        <v>383</v>
      </c>
      <c r="Z23">
        <f>X23*Y23</f>
        <v/>
      </c>
      <c r="AA23" t="n">
        <v>28202.67</v>
      </c>
      <c r="AB23" t="n">
        <v>513</v>
      </c>
      <c r="AC23">
        <f>AA23*AB23</f>
        <v/>
      </c>
      <c r="AD23" t="n">
        <v>25801.16</v>
      </c>
      <c r="AE23" t="n">
        <v>576</v>
      </c>
      <c r="AF23">
        <f>AD23*AE23</f>
        <v/>
      </c>
      <c r="AG23" t="n">
        <v>27538.44</v>
      </c>
      <c r="AH23" t="n">
        <v>401</v>
      </c>
      <c r="AI23">
        <f>AG23*AH23</f>
        <v/>
      </c>
      <c r="AJ23" t="n">
        <v>23851.6</v>
      </c>
      <c r="AK23" t="n">
        <v>472</v>
      </c>
      <c r="AL23">
        <f>AJ23*AK23</f>
        <v/>
      </c>
      <c r="AM23" t="n">
        <v>25546.44</v>
      </c>
      <c r="AN23" t="n">
        <v>482</v>
      </c>
      <c r="AO23">
        <f>AM23*AN23</f>
        <v/>
      </c>
      <c r="AP23" t="n">
        <v>27131.54</v>
      </c>
      <c r="AQ23" t="n">
        <v>543</v>
      </c>
      <c r="AR23">
        <f>AP23*AQ23</f>
        <v/>
      </c>
      <c r="AS23" t="n">
        <v>28455.1</v>
      </c>
      <c r="AT23" t="n">
        <v>373</v>
      </c>
      <c r="AU23">
        <f>AS23*AT23</f>
        <v/>
      </c>
      <c r="AV23" t="n">
        <v>25437.7</v>
      </c>
      <c r="AW23" t="n">
        <v>445</v>
      </c>
      <c r="AX23">
        <f>AV23*AW23</f>
        <v/>
      </c>
      <c r="AY23">
        <f>IFERROR(BA23/AZ23,0)</f>
        <v/>
      </c>
      <c r="AZ23">
        <f>SUM(P23,S23,V23,Y23,AB23,AE23,AH23,AK23,AN23,AQ23,AT23,AW23)</f>
        <v/>
      </c>
      <c r="BA23">
        <f>SUM(Q23,T23,W23,Z23,AC23,AF23,AI23,AL23,AO23,AR23,AU23,AX23)</f>
        <v/>
      </c>
      <c r="BB23">
        <f>AY23-L23</f>
        <v/>
      </c>
      <c r="BC23">
        <f>IFERROR(BB23/L23,0)</f>
        <v/>
      </c>
      <c r="BF23">
        <f>VLOOKUP("고정형"&amp;J23,인자!A:D,4,0)</f>
        <v/>
      </c>
    </row>
    <row r="24">
      <c r="A24" t="inlineStr">
        <is>
          <t>산전 영업부문</t>
        </is>
      </c>
      <c r="B24" t="inlineStr">
        <is>
          <t>산전 고정형</t>
        </is>
      </c>
      <c r="C24">
        <f>D24&amp;J24</f>
        <v/>
      </c>
      <c r="D24" t="n">
        <v>9012281</v>
      </c>
      <c r="E24" t="inlineStr">
        <is>
          <t>가상상사B</t>
        </is>
      </c>
      <c r="F24" t="n">
        <v>9012281</v>
      </c>
      <c r="G24" t="inlineStr">
        <is>
          <t>가상상사B</t>
        </is>
      </c>
      <c r="H24" t="inlineStr">
        <is>
          <t>최지우</t>
        </is>
      </c>
      <c r="I24" t="inlineStr">
        <is>
          <t>광주</t>
        </is>
      </c>
      <c r="J24" t="inlineStr">
        <is>
          <t>GSL 소형</t>
        </is>
      </c>
      <c r="L24" t="n">
        <v>163204.3</v>
      </c>
      <c r="M24" t="n">
        <v>1158</v>
      </c>
      <c r="N24">
        <f>L24*M24</f>
        <v/>
      </c>
      <c r="O24" t="n">
        <v>160654.45</v>
      </c>
      <c r="P24" t="n">
        <v>1004</v>
      </c>
      <c r="Q24">
        <f>O24*P24</f>
        <v/>
      </c>
      <c r="R24" t="n">
        <v>155037.77</v>
      </c>
      <c r="S24" t="n">
        <v>1452</v>
      </c>
      <c r="T24">
        <f>R24*S24</f>
        <v/>
      </c>
      <c r="U24" t="n">
        <v>161348.04</v>
      </c>
      <c r="V24" t="n">
        <v>1409</v>
      </c>
      <c r="W24">
        <f>U24*V24</f>
        <v/>
      </c>
      <c r="X24" t="n">
        <v>164846.96</v>
      </c>
      <c r="Y24" t="n">
        <v>846</v>
      </c>
      <c r="Z24">
        <f>X24*Y24</f>
        <v/>
      </c>
      <c r="AA24" t="n">
        <v>179501.31</v>
      </c>
      <c r="AB24" t="n">
        <v>1391</v>
      </c>
      <c r="AC24">
        <f>AA24*AB24</f>
        <v/>
      </c>
      <c r="AD24" t="n">
        <v>178512.74</v>
      </c>
      <c r="AE24" t="n">
        <v>1454</v>
      </c>
      <c r="AF24">
        <f>AD24*AE24</f>
        <v/>
      </c>
      <c r="AG24" t="n">
        <v>174586.03</v>
      </c>
      <c r="AH24" t="n">
        <v>926</v>
      </c>
      <c r="AI24">
        <f>AG24*AH24</f>
        <v/>
      </c>
      <c r="AJ24" t="n">
        <v>162735.61</v>
      </c>
      <c r="AK24" t="n">
        <v>959</v>
      </c>
      <c r="AL24">
        <f>AJ24*AK24</f>
        <v/>
      </c>
      <c r="AM24" t="n">
        <v>159974.17</v>
      </c>
      <c r="AN24" t="n">
        <v>851</v>
      </c>
      <c r="AO24">
        <f>AM24*AN24</f>
        <v/>
      </c>
      <c r="AP24" t="n">
        <v>159253.88</v>
      </c>
      <c r="AQ24" t="n">
        <v>1495</v>
      </c>
      <c r="AR24">
        <f>AP24*AQ24</f>
        <v/>
      </c>
      <c r="AS24" t="n">
        <v>155540.33</v>
      </c>
      <c r="AT24" t="n">
        <v>1355</v>
      </c>
      <c r="AU24">
        <f>AS24*AT24</f>
        <v/>
      </c>
      <c r="AV24" t="n">
        <v>161735.73</v>
      </c>
      <c r="AW24" t="n">
        <v>1105</v>
      </c>
      <c r="AX24">
        <f>AV24*AW24</f>
        <v/>
      </c>
      <c r="AY24">
        <f>IFERROR(BA24/AZ24,0)</f>
        <v/>
      </c>
      <c r="AZ24">
        <f>SUM(P24,S24,V24,Y24,AB24,AE24,AH24,AK24,AN24,AQ24,AT24,AW24)</f>
        <v/>
      </c>
      <c r="BA24">
        <f>SUM(Q24,T24,W24,Z24,AC24,AF24,AI24,AL24,AO24,AR24,AU24,AX24)</f>
        <v/>
      </c>
      <c r="BB24">
        <f>AY24-L24</f>
        <v/>
      </c>
      <c r="BC24">
        <f>IFERROR(BB24/L24,0)</f>
        <v/>
      </c>
      <c r="BF24">
        <f>VLOOKUP("고정형"&amp;J24,인자!A:D,4,0)</f>
        <v/>
      </c>
    </row>
    <row r="25">
      <c r="A25" t="inlineStr">
        <is>
          <t>산전 영업부문</t>
        </is>
      </c>
      <c r="B25" t="inlineStr">
        <is>
          <t>산전 고정형</t>
        </is>
      </c>
      <c r="C25">
        <f>D25&amp;J25</f>
        <v/>
      </c>
      <c r="D25" t="n">
        <v>9054988</v>
      </c>
      <c r="E25" t="inlineStr">
        <is>
          <t>참좋은상사H</t>
        </is>
      </c>
      <c r="F25" t="n">
        <v>9054988</v>
      </c>
      <c r="G25" t="inlineStr">
        <is>
          <t>참좋은상사H</t>
        </is>
      </c>
      <c r="H25" t="inlineStr">
        <is>
          <t>박도윤</t>
        </is>
      </c>
      <c r="I25" t="inlineStr">
        <is>
          <t>광주</t>
        </is>
      </c>
      <c r="J25" t="inlineStr">
        <is>
          <t>MSB 대형</t>
        </is>
      </c>
      <c r="L25" t="n">
        <v>69221.77</v>
      </c>
      <c r="M25" t="n">
        <v>489</v>
      </c>
      <c r="N25">
        <f>L25*M25</f>
        <v/>
      </c>
      <c r="O25" t="n">
        <v>70317.97</v>
      </c>
      <c r="P25" t="n">
        <v>501</v>
      </c>
      <c r="Q25">
        <f>O25*P25</f>
        <v/>
      </c>
      <c r="R25" t="n">
        <v>72654.83</v>
      </c>
      <c r="S25" t="n">
        <v>359</v>
      </c>
      <c r="T25">
        <f>R25*S25</f>
        <v/>
      </c>
      <c r="U25" t="n">
        <v>70387.14999999999</v>
      </c>
      <c r="V25" t="n">
        <v>490</v>
      </c>
      <c r="W25">
        <f>U25*V25</f>
        <v/>
      </c>
      <c r="X25" t="n">
        <v>74104.95</v>
      </c>
      <c r="Y25" t="n">
        <v>388</v>
      </c>
      <c r="Z25">
        <f>X25*Y25</f>
        <v/>
      </c>
      <c r="AA25" t="n">
        <v>75600.96000000001</v>
      </c>
      <c r="AB25" t="n">
        <v>366</v>
      </c>
      <c r="AC25">
        <f>AA25*AB25</f>
        <v/>
      </c>
      <c r="AD25" t="n">
        <v>64872.22</v>
      </c>
      <c r="AE25" t="n">
        <v>517</v>
      </c>
      <c r="AF25">
        <f>AD25*AE25</f>
        <v/>
      </c>
      <c r="AG25" t="n">
        <v>71647.47</v>
      </c>
      <c r="AH25" t="n">
        <v>411</v>
      </c>
      <c r="AI25">
        <f>AG25*AH25</f>
        <v/>
      </c>
      <c r="AJ25" t="n">
        <v>63959.35</v>
      </c>
      <c r="AK25" t="n">
        <v>604</v>
      </c>
      <c r="AL25">
        <f>AJ25*AK25</f>
        <v/>
      </c>
      <c r="AM25" t="n">
        <v>65708.28999999999</v>
      </c>
      <c r="AN25" t="n">
        <v>517</v>
      </c>
      <c r="AO25">
        <f>AM25*AN25</f>
        <v/>
      </c>
      <c r="AP25" t="n">
        <v>70874.53</v>
      </c>
      <c r="AQ25" t="n">
        <v>465</v>
      </c>
      <c r="AR25">
        <f>AP25*AQ25</f>
        <v/>
      </c>
      <c r="AS25" t="n">
        <v>70380.16</v>
      </c>
      <c r="AT25" t="n">
        <v>496</v>
      </c>
      <c r="AU25">
        <f>AS25*AT25</f>
        <v/>
      </c>
      <c r="AV25" t="n">
        <v>75240</v>
      </c>
      <c r="AW25" t="n">
        <v>402</v>
      </c>
      <c r="AX25">
        <f>AV25*AW25</f>
        <v/>
      </c>
      <c r="AY25">
        <f>IFERROR(BA25/AZ25,0)</f>
        <v/>
      </c>
      <c r="AZ25">
        <f>SUM(P25,S25,V25,Y25,AB25,AE25,AH25,AK25,AN25,AQ25,AT25,AW25)</f>
        <v/>
      </c>
      <c r="BA25">
        <f>SUM(Q25,T25,W25,Z25,AC25,AF25,AI25,AL25,AO25,AR25,AU25,AX25)</f>
        <v/>
      </c>
      <c r="BB25">
        <f>AY25-L25</f>
        <v/>
      </c>
      <c r="BC25">
        <f>IFERROR(BB25/L25,0)</f>
        <v/>
      </c>
      <c r="BF25">
        <f>VLOOKUP("고정형"&amp;J25,인자!A:D,4,0)</f>
        <v/>
      </c>
    </row>
    <row r="26">
      <c r="A26" t="inlineStr">
        <is>
          <t>산전 영업부문</t>
        </is>
      </c>
      <c r="B26" t="inlineStr">
        <is>
          <t>산전 고정형</t>
        </is>
      </c>
      <c r="C26">
        <f>D26&amp;J26</f>
        <v/>
      </c>
      <c r="D26" t="n">
        <v>9093851</v>
      </c>
      <c r="E26" t="inlineStr">
        <is>
          <t>한빛파워F</t>
        </is>
      </c>
      <c r="F26" t="n">
        <v>9093851</v>
      </c>
      <c r="G26" t="inlineStr">
        <is>
          <t>한빛파워F</t>
        </is>
      </c>
      <c r="H26" t="inlineStr">
        <is>
          <t>최지우</t>
        </is>
      </c>
      <c r="I26" t="inlineStr">
        <is>
          <t>창원</t>
        </is>
      </c>
      <c r="J26" t="inlineStr">
        <is>
          <t>PS 소형</t>
        </is>
      </c>
      <c r="L26" t="n">
        <v>43609.09</v>
      </c>
      <c r="M26" t="n">
        <v>2467</v>
      </c>
      <c r="N26">
        <f>L26*M26</f>
        <v/>
      </c>
      <c r="O26" t="n">
        <v>43236.01</v>
      </c>
      <c r="P26" t="n">
        <v>3102</v>
      </c>
      <c r="Q26">
        <f>O26*P26</f>
        <v/>
      </c>
      <c r="R26" t="n">
        <v>47409.49</v>
      </c>
      <c r="S26" t="n">
        <v>1741</v>
      </c>
      <c r="T26">
        <f>R26*S26</f>
        <v/>
      </c>
      <c r="U26" t="n">
        <v>44665.82</v>
      </c>
      <c r="V26" t="n">
        <v>2560</v>
      </c>
      <c r="W26">
        <f>U26*V26</f>
        <v/>
      </c>
      <c r="X26" t="n">
        <v>40120.2</v>
      </c>
      <c r="Y26" t="n">
        <v>2523</v>
      </c>
      <c r="Z26">
        <f>X26*Y26</f>
        <v/>
      </c>
      <c r="AA26" t="n">
        <v>43660.42</v>
      </c>
      <c r="AB26" t="n">
        <v>1923</v>
      </c>
      <c r="AC26">
        <f>AA26*AB26</f>
        <v/>
      </c>
      <c r="AD26" t="n">
        <v>42292.17</v>
      </c>
      <c r="AE26" t="n">
        <v>1829</v>
      </c>
      <c r="AF26">
        <f>AD26*AE26</f>
        <v/>
      </c>
      <c r="AG26" t="n">
        <v>41378.79</v>
      </c>
      <c r="AH26" t="n">
        <v>2149</v>
      </c>
      <c r="AI26">
        <f>AG26*AH26</f>
        <v/>
      </c>
      <c r="AJ26" t="n">
        <v>43069.95</v>
      </c>
      <c r="AK26" t="n">
        <v>2531</v>
      </c>
      <c r="AL26">
        <f>AJ26*AK26</f>
        <v/>
      </c>
      <c r="AM26" t="n">
        <v>41886.68</v>
      </c>
      <c r="AN26" t="n">
        <v>3183</v>
      </c>
      <c r="AO26">
        <f>AM26*AN26</f>
        <v/>
      </c>
      <c r="AP26" t="n">
        <v>46287.56</v>
      </c>
      <c r="AQ26" t="n">
        <v>2510</v>
      </c>
      <c r="AR26">
        <f>AP26*AQ26</f>
        <v/>
      </c>
      <c r="AS26" t="n">
        <v>45073.16</v>
      </c>
      <c r="AT26" t="n">
        <v>2548</v>
      </c>
      <c r="AU26">
        <f>AS26*AT26</f>
        <v/>
      </c>
      <c r="AV26" t="n">
        <v>47374.79</v>
      </c>
      <c r="AW26" t="n">
        <v>1880</v>
      </c>
      <c r="AX26">
        <f>AV26*AW26</f>
        <v/>
      </c>
      <c r="AY26">
        <f>IFERROR(BA26/AZ26,0)</f>
        <v/>
      </c>
      <c r="AZ26">
        <f>SUM(P26,S26,V26,Y26,AB26,AE26,AH26,AK26,AN26,AQ26,AT26,AW26)</f>
        <v/>
      </c>
      <c r="BA26">
        <f>SUM(Q26,T26,W26,Z26,AC26,AF26,AI26,AL26,AO26,AR26,AU26,AX26)</f>
        <v/>
      </c>
      <c r="BB26">
        <f>AY26-L26</f>
        <v/>
      </c>
      <c r="BC26">
        <f>IFERROR(BB26/L26,0)</f>
        <v/>
      </c>
      <c r="BF26">
        <f>VLOOKUP("고정형"&amp;J26,인자!A:D,4,0)</f>
        <v/>
      </c>
    </row>
    <row r="27">
      <c r="A27" t="inlineStr">
        <is>
          <t>산전 영업부문</t>
        </is>
      </c>
      <c r="B27" t="inlineStr">
        <is>
          <t>산전 고정형</t>
        </is>
      </c>
      <c r="C27">
        <f>D27&amp;J27</f>
        <v/>
      </c>
      <c r="D27" t="n">
        <v>9030496</v>
      </c>
      <c r="E27" t="inlineStr">
        <is>
          <t>한빛파워C</t>
        </is>
      </c>
      <c r="F27" t="n">
        <v>9030496</v>
      </c>
      <c r="G27" t="inlineStr">
        <is>
          <t>한빛파워C</t>
        </is>
      </c>
      <c r="H27" t="inlineStr">
        <is>
          <t>정하은</t>
        </is>
      </c>
      <c r="I27" t="inlineStr">
        <is>
          <t>광주</t>
        </is>
      </c>
      <c r="J27" t="inlineStr">
        <is>
          <t>ES 소형</t>
        </is>
      </c>
      <c r="L27" t="n">
        <v>224012.92</v>
      </c>
      <c r="M27" t="n">
        <v>1283</v>
      </c>
      <c r="N27">
        <f>L27*M27</f>
        <v/>
      </c>
      <c r="O27" t="n">
        <v>213813.53</v>
      </c>
      <c r="P27" t="n">
        <v>1364</v>
      </c>
      <c r="Q27">
        <f>O27*P27</f>
        <v/>
      </c>
      <c r="R27" t="n">
        <v>233762.51</v>
      </c>
      <c r="S27" t="n">
        <v>1055</v>
      </c>
      <c r="T27">
        <f>R27*S27</f>
        <v/>
      </c>
      <c r="U27" t="n">
        <v>230027.13</v>
      </c>
      <c r="V27" t="n">
        <v>1101</v>
      </c>
      <c r="W27">
        <f>U27*V27</f>
        <v/>
      </c>
      <c r="X27" t="n">
        <v>223499.12</v>
      </c>
      <c r="Y27" t="n">
        <v>1595</v>
      </c>
      <c r="Z27">
        <f>X27*Y27</f>
        <v/>
      </c>
      <c r="AA27" t="n">
        <v>239519.26</v>
      </c>
      <c r="AB27" t="n">
        <v>969</v>
      </c>
      <c r="AC27">
        <f>AA27*AB27</f>
        <v/>
      </c>
      <c r="AD27" t="n">
        <v>220588.92</v>
      </c>
      <c r="AE27" t="n">
        <v>1111</v>
      </c>
      <c r="AF27">
        <f>AD27*AE27</f>
        <v/>
      </c>
      <c r="AG27" t="n">
        <v>201770.48</v>
      </c>
      <c r="AH27" t="n">
        <v>1492</v>
      </c>
      <c r="AI27">
        <f>AG27*AH27</f>
        <v/>
      </c>
      <c r="AJ27" t="n">
        <v>230155.95</v>
      </c>
      <c r="AK27" t="n">
        <v>1100</v>
      </c>
      <c r="AL27">
        <f>AJ27*AK27</f>
        <v/>
      </c>
      <c r="AM27" t="n">
        <v>234820.69</v>
      </c>
      <c r="AN27" t="n">
        <v>1323</v>
      </c>
      <c r="AO27">
        <f>AM27*AN27</f>
        <v/>
      </c>
      <c r="AP27" t="n">
        <v>220773.11</v>
      </c>
      <c r="AQ27" t="n">
        <v>906</v>
      </c>
      <c r="AR27">
        <f>AP27*AQ27</f>
        <v/>
      </c>
      <c r="AS27" t="n">
        <v>204982.75</v>
      </c>
      <c r="AT27" t="n">
        <v>1578</v>
      </c>
      <c r="AU27">
        <f>AS27*AT27</f>
        <v/>
      </c>
      <c r="AV27" t="n">
        <v>242109.96</v>
      </c>
      <c r="AW27" t="n">
        <v>1318</v>
      </c>
      <c r="AX27">
        <f>AV27*AW27</f>
        <v/>
      </c>
      <c r="AY27">
        <f>IFERROR(BA27/AZ27,0)</f>
        <v/>
      </c>
      <c r="AZ27">
        <f>SUM(P27,S27,V27,Y27,AB27,AE27,AH27,AK27,AN27,AQ27,AT27,AW27)</f>
        <v/>
      </c>
      <c r="BA27">
        <f>SUM(Q27,T27,W27,Z27,AC27,AF27,AI27,AL27,AO27,AR27,AU27,AX27)</f>
        <v/>
      </c>
      <c r="BB27">
        <f>AY27-L27</f>
        <v/>
      </c>
      <c r="BC27">
        <f>IFERROR(BB27/L27,0)</f>
        <v/>
      </c>
      <c r="BF27">
        <f>VLOOKUP("고정형"&amp;J27,인자!A:D,4,0)</f>
        <v/>
      </c>
    </row>
    <row r="28">
      <c r="A28" t="inlineStr">
        <is>
          <t>산전 영업부문</t>
        </is>
      </c>
      <c r="B28" t="inlineStr">
        <is>
          <t>산전 고정형</t>
        </is>
      </c>
      <c r="C28">
        <f>D28&amp;J28</f>
        <v/>
      </c>
      <c r="D28" t="n">
        <v>9093851</v>
      </c>
      <c r="E28" t="inlineStr">
        <is>
          <t>한빛파워F</t>
        </is>
      </c>
      <c r="F28" t="n">
        <v>9093851</v>
      </c>
      <c r="G28" t="inlineStr">
        <is>
          <t>한빛파워F</t>
        </is>
      </c>
      <c r="H28" t="inlineStr">
        <is>
          <t>임도현</t>
        </is>
      </c>
      <c r="I28" t="inlineStr">
        <is>
          <t>상품</t>
        </is>
      </c>
      <c r="J28" t="inlineStr">
        <is>
          <t>ES 중형</t>
        </is>
      </c>
      <c r="L28" t="n">
        <v>131787.08</v>
      </c>
      <c r="M28" t="n">
        <v>352</v>
      </c>
      <c r="N28">
        <f>L28*M28</f>
        <v/>
      </c>
      <c r="O28" t="n">
        <v>126733.27</v>
      </c>
      <c r="P28" t="n">
        <v>436</v>
      </c>
      <c r="Q28">
        <f>O28*P28</f>
        <v/>
      </c>
      <c r="R28" t="n">
        <v>139592.1</v>
      </c>
      <c r="S28" t="n">
        <v>428</v>
      </c>
      <c r="T28">
        <f>R28*S28</f>
        <v/>
      </c>
      <c r="U28" t="n">
        <v>142301.7</v>
      </c>
      <c r="V28" t="n">
        <v>291</v>
      </c>
      <c r="W28">
        <f>U28*V28</f>
        <v/>
      </c>
      <c r="X28" t="n">
        <v>125185.33</v>
      </c>
      <c r="Y28" t="n">
        <v>268</v>
      </c>
      <c r="Z28">
        <f>X28*Y28</f>
        <v/>
      </c>
      <c r="AA28" t="n">
        <v>139170.22</v>
      </c>
      <c r="AB28" t="n">
        <v>433</v>
      </c>
      <c r="AC28">
        <f>AA28*AB28</f>
        <v/>
      </c>
      <c r="AD28" t="n">
        <v>129319.43</v>
      </c>
      <c r="AE28" t="n">
        <v>377</v>
      </c>
      <c r="AF28">
        <f>AD28*AE28</f>
        <v/>
      </c>
      <c r="AG28" t="n">
        <v>122682</v>
      </c>
      <c r="AH28" t="n">
        <v>443</v>
      </c>
      <c r="AI28">
        <f>AG28*AH28</f>
        <v/>
      </c>
      <c r="AJ28" t="n">
        <v>141397.14</v>
      </c>
      <c r="AK28" t="n">
        <v>453</v>
      </c>
      <c r="AL28">
        <f>AJ28*AK28</f>
        <v/>
      </c>
      <c r="AM28" t="n">
        <v>139978.22</v>
      </c>
      <c r="AN28" t="n">
        <v>433</v>
      </c>
      <c r="AO28">
        <f>AM28*AN28</f>
        <v/>
      </c>
      <c r="AP28" t="n">
        <v>119261.68</v>
      </c>
      <c r="AQ28" t="n">
        <v>402</v>
      </c>
      <c r="AR28">
        <f>AP28*AQ28</f>
        <v/>
      </c>
      <c r="AS28" t="n">
        <v>127363.92</v>
      </c>
      <c r="AT28" t="n">
        <v>443</v>
      </c>
      <c r="AU28">
        <f>AS28*AT28</f>
        <v/>
      </c>
      <c r="AV28" t="n">
        <v>139753.22</v>
      </c>
      <c r="AW28" t="n">
        <v>429</v>
      </c>
      <c r="AX28">
        <f>AV28*AW28</f>
        <v/>
      </c>
      <c r="AY28">
        <f>IFERROR(BA28/AZ28,0)</f>
        <v/>
      </c>
      <c r="AZ28">
        <f>SUM(P28,S28,V28,Y28,AB28,AE28,AH28,AK28,AN28,AQ28,AT28,AW28)</f>
        <v/>
      </c>
      <c r="BA28">
        <f>SUM(Q28,T28,W28,Z28,AC28,AF28,AI28,AL28,AO28,AR28,AU28,AX28)</f>
        <v/>
      </c>
      <c r="BB28">
        <f>AY28-L28</f>
        <v/>
      </c>
      <c r="BC28">
        <f>IFERROR(BB28/L28,0)</f>
        <v/>
      </c>
      <c r="BF28">
        <f>VLOOKUP("고정형"&amp;J28,인자!A:D,4,0)</f>
        <v/>
      </c>
    </row>
    <row r="29">
      <c r="A29" t="inlineStr">
        <is>
          <t>산전 영업부문</t>
        </is>
      </c>
      <c r="B29" t="inlineStr">
        <is>
          <t>산전 고정형</t>
        </is>
      </c>
      <c r="C29">
        <f>D29&amp;J29</f>
        <v/>
      </c>
      <c r="D29" t="n">
        <v>9078908</v>
      </c>
      <c r="E29" t="inlineStr">
        <is>
          <t>참좋은상사D</t>
        </is>
      </c>
      <c r="F29" t="n">
        <v>9078908</v>
      </c>
      <c r="G29" t="inlineStr">
        <is>
          <t>참좋은상사D</t>
        </is>
      </c>
      <c r="H29" t="inlineStr">
        <is>
          <t>정하은</t>
        </is>
      </c>
      <c r="I29" t="inlineStr">
        <is>
          <t>광주</t>
        </is>
      </c>
      <c r="J29" t="inlineStr">
        <is>
          <t>산업용 기타</t>
        </is>
      </c>
      <c r="L29" t="n">
        <v>36888.21</v>
      </c>
      <c r="M29" t="n">
        <v>327</v>
      </c>
      <c r="N29">
        <f>L29*M29</f>
        <v/>
      </c>
      <c r="O29" t="n">
        <v>39533.78</v>
      </c>
      <c r="P29" t="n">
        <v>273</v>
      </c>
      <c r="Q29">
        <f>O29*P29</f>
        <v/>
      </c>
      <c r="R29" t="n">
        <v>39223.87</v>
      </c>
      <c r="S29" t="n">
        <v>319</v>
      </c>
      <c r="T29">
        <f>R29*S29</f>
        <v/>
      </c>
      <c r="U29" t="n">
        <v>35450.98</v>
      </c>
      <c r="V29" t="n">
        <v>385</v>
      </c>
      <c r="W29">
        <f>U29*V29</f>
        <v/>
      </c>
      <c r="X29" t="n">
        <v>34878.51</v>
      </c>
      <c r="Y29" t="n">
        <v>234</v>
      </c>
      <c r="Z29">
        <f>X29*Y29</f>
        <v/>
      </c>
      <c r="AA29" t="n">
        <v>34624.23</v>
      </c>
      <c r="AB29" t="n">
        <v>293</v>
      </c>
      <c r="AC29">
        <f>AA29*AB29</f>
        <v/>
      </c>
      <c r="AD29" t="n">
        <v>39576.28</v>
      </c>
      <c r="AE29" t="n">
        <v>419</v>
      </c>
      <c r="AF29">
        <f>AD29*AE29</f>
        <v/>
      </c>
      <c r="AG29" t="n">
        <v>35258.67</v>
      </c>
      <c r="AH29" t="n">
        <v>355</v>
      </c>
      <c r="AI29">
        <f>AG29*AH29</f>
        <v/>
      </c>
      <c r="AJ29" t="n">
        <v>36148.07</v>
      </c>
      <c r="AK29" t="n">
        <v>421</v>
      </c>
      <c r="AL29">
        <f>AJ29*AK29</f>
        <v/>
      </c>
      <c r="AM29" t="n">
        <v>37155.4</v>
      </c>
      <c r="AN29" t="n">
        <v>413</v>
      </c>
      <c r="AO29">
        <f>AM29*AN29</f>
        <v/>
      </c>
      <c r="AP29" t="n">
        <v>34050.34</v>
      </c>
      <c r="AQ29" t="n">
        <v>419</v>
      </c>
      <c r="AR29">
        <f>AP29*AQ29</f>
        <v/>
      </c>
      <c r="AS29" t="n">
        <v>34516.8</v>
      </c>
      <c r="AT29" t="n">
        <v>418</v>
      </c>
      <c r="AU29">
        <f>AS29*AT29</f>
        <v/>
      </c>
      <c r="AV29" t="n">
        <v>35157.9</v>
      </c>
      <c r="AW29" t="n">
        <v>250</v>
      </c>
      <c r="AX29">
        <f>AV29*AW29</f>
        <v/>
      </c>
      <c r="AY29">
        <f>IFERROR(BA29/AZ29,0)</f>
        <v/>
      </c>
      <c r="AZ29">
        <f>SUM(P29,S29,V29,Y29,AB29,AE29,AH29,AK29,AN29,AQ29,AT29,AW29)</f>
        <v/>
      </c>
      <c r="BA29">
        <f>SUM(Q29,T29,W29,Z29,AC29,AF29,AI29,AL29,AO29,AR29,AU29,AX29)</f>
        <v/>
      </c>
      <c r="BB29">
        <f>AY29-L29</f>
        <v/>
      </c>
      <c r="BC29">
        <f>IFERROR(BB29/L29,0)</f>
        <v/>
      </c>
      <c r="BF29">
        <f>VLOOKUP("고정형"&amp;J29,인자!A:D,4,0)</f>
        <v/>
      </c>
    </row>
    <row r="30">
      <c r="A30" t="inlineStr">
        <is>
          <t>산전 영업부문</t>
        </is>
      </c>
      <c r="B30" t="inlineStr">
        <is>
          <t>산전 고정형</t>
        </is>
      </c>
      <c r="C30">
        <f>D30&amp;J30</f>
        <v/>
      </c>
      <c r="D30" t="n">
        <v>9091925</v>
      </c>
      <c r="E30" t="inlineStr">
        <is>
          <t>새한전자G</t>
        </is>
      </c>
      <c r="F30" t="n">
        <v>9091925</v>
      </c>
      <c r="G30" t="inlineStr">
        <is>
          <t>새한전자G</t>
        </is>
      </c>
      <c r="H30" t="inlineStr">
        <is>
          <t>강시우</t>
        </is>
      </c>
      <c r="I30" t="inlineStr">
        <is>
          <t>상품</t>
        </is>
      </c>
      <c r="J30" t="inlineStr">
        <is>
          <t>MSB 소형</t>
        </is>
      </c>
      <c r="L30" t="n">
        <v>133736.2</v>
      </c>
      <c r="M30" t="n">
        <v>4199</v>
      </c>
      <c r="N30">
        <f>L30*M30</f>
        <v/>
      </c>
      <c r="O30" t="n">
        <v>123455.79</v>
      </c>
      <c r="P30" t="n">
        <v>5206</v>
      </c>
      <c r="Q30">
        <f>O30*P30</f>
        <v/>
      </c>
      <c r="R30" t="n">
        <v>125446.66</v>
      </c>
      <c r="S30" t="n">
        <v>3051</v>
      </c>
      <c r="T30">
        <f>R30*S30</f>
        <v/>
      </c>
      <c r="U30" t="n">
        <v>132025.92</v>
      </c>
      <c r="V30" t="n">
        <v>4249</v>
      </c>
      <c r="W30">
        <f>U30*V30</f>
        <v/>
      </c>
      <c r="X30" t="n">
        <v>141934.52</v>
      </c>
      <c r="Y30" t="n">
        <v>4670</v>
      </c>
      <c r="Z30">
        <f>X30*Y30</f>
        <v/>
      </c>
      <c r="AA30" t="n">
        <v>145512.02</v>
      </c>
      <c r="AB30" t="n">
        <v>4796</v>
      </c>
      <c r="AC30">
        <f>AA30*AB30</f>
        <v/>
      </c>
      <c r="AD30" t="n">
        <v>125632.73</v>
      </c>
      <c r="AE30" t="n">
        <v>4026</v>
      </c>
      <c r="AF30">
        <f>AD30*AE30</f>
        <v/>
      </c>
      <c r="AG30" t="n">
        <v>145742.35</v>
      </c>
      <c r="AH30" t="n">
        <v>5259</v>
      </c>
      <c r="AI30">
        <f>AG30*AH30</f>
        <v/>
      </c>
      <c r="AJ30" t="n">
        <v>137030.27</v>
      </c>
      <c r="AK30" t="n">
        <v>4611</v>
      </c>
      <c r="AL30">
        <f>AJ30*AK30</f>
        <v/>
      </c>
      <c r="AM30" t="n">
        <v>123695.96</v>
      </c>
      <c r="AN30" t="n">
        <v>5207</v>
      </c>
      <c r="AO30">
        <f>AM30*AN30</f>
        <v/>
      </c>
      <c r="AP30" t="n">
        <v>133926.71</v>
      </c>
      <c r="AQ30" t="n">
        <v>4619</v>
      </c>
      <c r="AR30">
        <f>AP30*AQ30</f>
        <v/>
      </c>
      <c r="AS30" t="n">
        <v>129087.07</v>
      </c>
      <c r="AT30" t="n">
        <v>4696</v>
      </c>
      <c r="AU30">
        <f>AS30*AT30</f>
        <v/>
      </c>
      <c r="AV30" t="n">
        <v>135191.58</v>
      </c>
      <c r="AW30" t="n">
        <v>3423</v>
      </c>
      <c r="AX30">
        <f>AV30*AW30</f>
        <v/>
      </c>
      <c r="AY30">
        <f>IFERROR(BA30/AZ30,0)</f>
        <v/>
      </c>
      <c r="AZ30">
        <f>SUM(P30,S30,V30,Y30,AB30,AE30,AH30,AK30,AN30,AQ30,AT30,AW30)</f>
        <v/>
      </c>
      <c r="BA30">
        <f>SUM(Q30,T30,W30,Z30,AC30,AF30,AI30,AL30,AO30,AR30,AU30,AX30)</f>
        <v/>
      </c>
      <c r="BB30">
        <f>AY30-L30</f>
        <v/>
      </c>
      <c r="BC30">
        <f>IFERROR(BB30/L30,0)</f>
        <v/>
      </c>
      <c r="BF30">
        <f>VLOOKUP("고정형"&amp;J30,인자!A:D,4,0)</f>
        <v/>
      </c>
    </row>
    <row r="31">
      <c r="A31" t="inlineStr">
        <is>
          <t>산전 영업부문</t>
        </is>
      </c>
      <c r="B31" t="inlineStr">
        <is>
          <t>산전 고정형</t>
        </is>
      </c>
      <c r="C31">
        <f>D31&amp;J31</f>
        <v/>
      </c>
      <c r="D31" t="n">
        <v>9091925</v>
      </c>
      <c r="E31" t="inlineStr">
        <is>
          <t>새한전자G</t>
        </is>
      </c>
      <c r="F31" t="n">
        <v>9091925</v>
      </c>
      <c r="G31" t="inlineStr">
        <is>
          <t>새한전자G</t>
        </is>
      </c>
      <c r="H31" t="inlineStr">
        <is>
          <t>한지호</t>
        </is>
      </c>
      <c r="I31" t="inlineStr">
        <is>
          <t>상품</t>
        </is>
      </c>
      <c r="J31" t="inlineStr">
        <is>
          <t>GSL 대형</t>
        </is>
      </c>
      <c r="L31" t="n">
        <v>186576.9</v>
      </c>
      <c r="M31" t="n">
        <v>2475</v>
      </c>
      <c r="N31">
        <f>L31*M31</f>
        <v/>
      </c>
      <c r="O31" t="n">
        <v>183072.06</v>
      </c>
      <c r="P31" t="n">
        <v>2971</v>
      </c>
      <c r="Q31">
        <f>O31*P31</f>
        <v/>
      </c>
      <c r="R31" t="n">
        <v>179258.42</v>
      </c>
      <c r="S31" t="n">
        <v>2045</v>
      </c>
      <c r="T31">
        <f>R31*S31</f>
        <v/>
      </c>
      <c r="U31" t="n">
        <v>197240.1</v>
      </c>
      <c r="V31" t="n">
        <v>2633</v>
      </c>
      <c r="W31">
        <f>U31*V31</f>
        <v/>
      </c>
      <c r="X31" t="n">
        <v>179944.06</v>
      </c>
      <c r="Y31" t="n">
        <v>2389</v>
      </c>
      <c r="Z31">
        <f>X31*Y31</f>
        <v/>
      </c>
      <c r="AA31" t="n">
        <v>193130.5</v>
      </c>
      <c r="AB31" t="n">
        <v>2492</v>
      </c>
      <c r="AC31">
        <f>AA31*AB31</f>
        <v/>
      </c>
      <c r="AD31" t="n">
        <v>197537.75</v>
      </c>
      <c r="AE31" t="n">
        <v>3158</v>
      </c>
      <c r="AF31">
        <f>AD31*AE31</f>
        <v/>
      </c>
      <c r="AG31" t="n">
        <v>195381.89</v>
      </c>
      <c r="AH31" t="n">
        <v>2711</v>
      </c>
      <c r="AI31">
        <f>AG31*AH31</f>
        <v/>
      </c>
      <c r="AJ31" t="n">
        <v>178508.81</v>
      </c>
      <c r="AK31" t="n">
        <v>2718</v>
      </c>
      <c r="AL31">
        <f>AJ31*AK31</f>
        <v/>
      </c>
      <c r="AM31" t="n">
        <v>191027.16</v>
      </c>
      <c r="AN31" t="n">
        <v>1871</v>
      </c>
      <c r="AO31">
        <f>AM31*AN31</f>
        <v/>
      </c>
      <c r="AP31" t="n">
        <v>203443.44</v>
      </c>
      <c r="AQ31" t="n">
        <v>2081</v>
      </c>
      <c r="AR31">
        <f>AP31*AQ31</f>
        <v/>
      </c>
      <c r="AS31" t="n">
        <v>179502.63</v>
      </c>
      <c r="AT31" t="n">
        <v>2930</v>
      </c>
      <c r="AU31">
        <f>AS31*AT31</f>
        <v/>
      </c>
      <c r="AV31" t="n">
        <v>173417.78</v>
      </c>
      <c r="AW31" t="n">
        <v>1801</v>
      </c>
      <c r="AX31">
        <f>AV31*AW31</f>
        <v/>
      </c>
      <c r="AY31">
        <f>IFERROR(BA31/AZ31,0)</f>
        <v/>
      </c>
      <c r="AZ31">
        <f>SUM(P31,S31,V31,Y31,AB31,AE31,AH31,AK31,AN31,AQ31,AT31,AW31)</f>
        <v/>
      </c>
      <c r="BA31">
        <f>SUM(Q31,T31,W31,Z31,AC31,AF31,AI31,AL31,AO31,AR31,AU31,AX31)</f>
        <v/>
      </c>
      <c r="BB31">
        <f>AY31-L31</f>
        <v/>
      </c>
      <c r="BC31">
        <f>IFERROR(BB31/L31,0)</f>
        <v/>
      </c>
      <c r="BF31">
        <f>VLOOKUP("고정형"&amp;J31,인자!A:D,4,0)</f>
        <v/>
      </c>
    </row>
    <row r="32">
      <c r="A32" t="inlineStr">
        <is>
          <t>산전 영업부문</t>
        </is>
      </c>
      <c r="B32" t="inlineStr">
        <is>
          <t>산전 고정형</t>
        </is>
      </c>
      <c r="C32">
        <f>D32&amp;J32</f>
        <v/>
      </c>
      <c r="D32" t="n">
        <v>9054988</v>
      </c>
      <c r="E32" t="inlineStr">
        <is>
          <t>참좋은상사H</t>
        </is>
      </c>
      <c r="F32" t="n">
        <v>9054988</v>
      </c>
      <c r="G32" t="inlineStr">
        <is>
          <t>참좋은상사H</t>
        </is>
      </c>
      <c r="H32" t="inlineStr">
        <is>
          <t>임도현</t>
        </is>
      </c>
      <c r="I32" t="inlineStr">
        <is>
          <t>광주</t>
        </is>
      </c>
      <c r="J32" t="inlineStr">
        <is>
          <t>PT(SB)</t>
        </is>
      </c>
      <c r="L32" t="n">
        <v>127260.1</v>
      </c>
      <c r="M32" t="n">
        <v>4725</v>
      </c>
      <c r="N32">
        <f>L32*M32</f>
        <v/>
      </c>
      <c r="O32" t="n">
        <v>119482.86</v>
      </c>
      <c r="P32" t="n">
        <v>5282</v>
      </c>
      <c r="Q32">
        <f>O32*P32</f>
        <v/>
      </c>
      <c r="R32" t="n">
        <v>127116.99</v>
      </c>
      <c r="S32" t="n">
        <v>3999</v>
      </c>
      <c r="T32">
        <f>R32*S32</f>
        <v/>
      </c>
      <c r="U32" t="n">
        <v>131232.09</v>
      </c>
      <c r="V32" t="n">
        <v>3323</v>
      </c>
      <c r="W32">
        <f>U32*V32</f>
        <v/>
      </c>
      <c r="X32" t="n">
        <v>133647.65</v>
      </c>
      <c r="Y32" t="n">
        <v>5491</v>
      </c>
      <c r="Z32">
        <f>X32*Y32</f>
        <v/>
      </c>
      <c r="AA32" t="n">
        <v>117246.95</v>
      </c>
      <c r="AB32" t="n">
        <v>4513</v>
      </c>
      <c r="AC32">
        <f>AA32*AB32</f>
        <v/>
      </c>
      <c r="AD32" t="n">
        <v>119010.76</v>
      </c>
      <c r="AE32" t="n">
        <v>6023</v>
      </c>
      <c r="AF32">
        <f>AD32*AE32</f>
        <v/>
      </c>
      <c r="AG32" t="n">
        <v>127717.16</v>
      </c>
      <c r="AH32" t="n">
        <v>3450</v>
      </c>
      <c r="AI32">
        <f>AG32*AH32</f>
        <v/>
      </c>
      <c r="AJ32" t="n">
        <v>120876.69</v>
      </c>
      <c r="AK32" t="n">
        <v>5713</v>
      </c>
      <c r="AL32">
        <f>AJ32*AK32</f>
        <v/>
      </c>
      <c r="AM32" t="n">
        <v>126151.97</v>
      </c>
      <c r="AN32" t="n">
        <v>5580</v>
      </c>
      <c r="AO32">
        <f>AM32*AN32</f>
        <v/>
      </c>
      <c r="AP32" t="n">
        <v>131525.29</v>
      </c>
      <c r="AQ32" t="n">
        <v>6108</v>
      </c>
      <c r="AR32">
        <f>AP32*AQ32</f>
        <v/>
      </c>
      <c r="AS32" t="n">
        <v>129689.55</v>
      </c>
      <c r="AT32" t="n">
        <v>6001</v>
      </c>
      <c r="AU32">
        <f>AS32*AT32</f>
        <v/>
      </c>
      <c r="AV32" t="n">
        <v>137222.68</v>
      </c>
      <c r="AW32" t="n">
        <v>5044</v>
      </c>
      <c r="AX32">
        <f>AV32*AW32</f>
        <v/>
      </c>
      <c r="AY32">
        <f>IFERROR(BA32/AZ32,0)</f>
        <v/>
      </c>
      <c r="AZ32">
        <f>SUM(P32,S32,V32,Y32,AB32,AE32,AH32,AK32,AN32,AQ32,AT32,AW32)</f>
        <v/>
      </c>
      <c r="BA32">
        <f>SUM(Q32,T32,W32,Z32,AC32,AF32,AI32,AL32,AO32,AR32,AU32,AX32)</f>
        <v/>
      </c>
      <c r="BB32">
        <f>AY32-L32</f>
        <v/>
      </c>
      <c r="BC32">
        <f>IFERROR(BB32/L32,0)</f>
        <v/>
      </c>
      <c r="BF32">
        <f>VLOOKUP("고정형"&amp;J32,인자!A:D,4,0)</f>
        <v/>
      </c>
    </row>
    <row r="33">
      <c r="A33" t="inlineStr">
        <is>
          <t>산전 영업부문</t>
        </is>
      </c>
      <c r="B33" t="inlineStr">
        <is>
          <t>산전 고정형</t>
        </is>
      </c>
      <c r="C33">
        <f>D33&amp;J33</f>
        <v/>
      </c>
      <c r="D33" t="n">
        <v>9091925</v>
      </c>
      <c r="E33" t="inlineStr">
        <is>
          <t>새한전자G</t>
        </is>
      </c>
      <c r="F33" t="n">
        <v>9091925</v>
      </c>
      <c r="G33" t="inlineStr">
        <is>
          <t>새한전자G</t>
        </is>
      </c>
      <c r="H33" t="inlineStr">
        <is>
          <t>권나윤</t>
        </is>
      </c>
      <c r="I33" t="inlineStr">
        <is>
          <t>상품</t>
        </is>
      </c>
      <c r="J33" t="inlineStr">
        <is>
          <t>PT(SB)</t>
        </is>
      </c>
      <c r="L33" t="n">
        <v>269676.39</v>
      </c>
      <c r="M33" t="n">
        <v>3898</v>
      </c>
      <c r="N33">
        <f>L33*M33</f>
        <v/>
      </c>
      <c r="O33" t="n">
        <v>266983.39</v>
      </c>
      <c r="P33" t="n">
        <v>4487</v>
      </c>
      <c r="Q33">
        <f>O33*P33</f>
        <v/>
      </c>
      <c r="R33" t="n">
        <v>288006.99</v>
      </c>
      <c r="S33" t="n">
        <v>3377</v>
      </c>
      <c r="T33">
        <f>R33*S33</f>
        <v/>
      </c>
      <c r="U33" t="n">
        <v>284652.86</v>
      </c>
      <c r="V33" t="n">
        <v>3862</v>
      </c>
      <c r="W33">
        <f>U33*V33</f>
        <v/>
      </c>
      <c r="X33" t="n">
        <v>255612.54</v>
      </c>
      <c r="Y33" t="n">
        <v>3757</v>
      </c>
      <c r="Z33">
        <f>X33*Y33</f>
        <v/>
      </c>
      <c r="AA33" t="n">
        <v>281193.99</v>
      </c>
      <c r="AB33" t="n">
        <v>3277</v>
      </c>
      <c r="AC33">
        <f>AA33*AB33</f>
        <v/>
      </c>
      <c r="AD33" t="n">
        <v>260822.78</v>
      </c>
      <c r="AE33" t="n">
        <v>4817</v>
      </c>
      <c r="AF33">
        <f>AD33*AE33</f>
        <v/>
      </c>
      <c r="AG33" t="n">
        <v>247054.73</v>
      </c>
      <c r="AH33" t="n">
        <v>3081</v>
      </c>
      <c r="AI33">
        <f>AG33*AH33</f>
        <v/>
      </c>
      <c r="AJ33" t="n">
        <v>263367.87</v>
      </c>
      <c r="AK33" t="n">
        <v>3086</v>
      </c>
      <c r="AL33">
        <f>AJ33*AK33</f>
        <v/>
      </c>
      <c r="AM33" t="n">
        <v>254248.36</v>
      </c>
      <c r="AN33" t="n">
        <v>3699</v>
      </c>
      <c r="AO33">
        <f>AM33*AN33</f>
        <v/>
      </c>
      <c r="AP33" t="n">
        <v>260554.93</v>
      </c>
      <c r="AQ33" t="n">
        <v>3818</v>
      </c>
      <c r="AR33">
        <f>AP33*AQ33</f>
        <v/>
      </c>
      <c r="AS33" t="n">
        <v>246067.07</v>
      </c>
      <c r="AT33" t="n">
        <v>4677</v>
      </c>
      <c r="AU33">
        <f>AS33*AT33</f>
        <v/>
      </c>
      <c r="AV33" t="n">
        <v>263715.29</v>
      </c>
      <c r="AW33" t="n">
        <v>4529</v>
      </c>
      <c r="AX33">
        <f>AV33*AW33</f>
        <v/>
      </c>
      <c r="AY33">
        <f>IFERROR(BA33/AZ33,0)</f>
        <v/>
      </c>
      <c r="AZ33">
        <f>SUM(P33,S33,V33,Y33,AB33,AE33,AH33,AK33,AN33,AQ33,AT33,AW33)</f>
        <v/>
      </c>
      <c r="BA33">
        <f>SUM(Q33,T33,W33,Z33,AC33,AF33,AI33,AL33,AO33,AR33,AU33,AX33)</f>
        <v/>
      </c>
      <c r="BB33">
        <f>AY33-L33</f>
        <v/>
      </c>
      <c r="BC33">
        <f>IFERROR(BB33/L33,0)</f>
        <v/>
      </c>
      <c r="BF33">
        <f>VLOOKUP("고정형"&amp;J33,인자!A:D,4,0)</f>
        <v/>
      </c>
    </row>
    <row r="34">
      <c r="A34" t="inlineStr">
        <is>
          <t>산전 영업부문</t>
        </is>
      </c>
      <c r="B34" t="inlineStr">
        <is>
          <t>산전 고정형</t>
        </is>
      </c>
      <c r="C34">
        <f>D34&amp;J34</f>
        <v/>
      </c>
      <c r="D34" t="n">
        <v>9004166</v>
      </c>
      <c r="E34" t="inlineStr">
        <is>
          <t>미래모터스A</t>
        </is>
      </c>
      <c r="F34" t="n">
        <v>9004166</v>
      </c>
      <c r="G34" t="inlineStr">
        <is>
          <t>미래모터스A</t>
        </is>
      </c>
      <c r="H34" t="inlineStr">
        <is>
          <t>권나윤</t>
        </is>
      </c>
      <c r="I34" t="inlineStr">
        <is>
          <t>상품</t>
        </is>
      </c>
      <c r="J34" t="inlineStr">
        <is>
          <t>PS 소형</t>
        </is>
      </c>
      <c r="L34" t="n">
        <v>145709.02</v>
      </c>
      <c r="M34" t="n">
        <v>2891</v>
      </c>
      <c r="N34">
        <f>L34*M34</f>
        <v/>
      </c>
      <c r="O34" t="n">
        <v>139840.23</v>
      </c>
      <c r="P34" t="n">
        <v>2700</v>
      </c>
      <c r="Q34">
        <f>O34*P34</f>
        <v/>
      </c>
      <c r="R34" t="n">
        <v>157122.16</v>
      </c>
      <c r="S34" t="n">
        <v>3473</v>
      </c>
      <c r="T34">
        <f>R34*S34</f>
        <v/>
      </c>
      <c r="U34" t="n">
        <v>146822.84</v>
      </c>
      <c r="V34" t="n">
        <v>3298</v>
      </c>
      <c r="W34">
        <f>U34*V34</f>
        <v/>
      </c>
      <c r="X34" t="n">
        <v>154447.72</v>
      </c>
      <c r="Y34" t="n">
        <v>3581</v>
      </c>
      <c r="Z34">
        <f>X34*Y34</f>
        <v/>
      </c>
      <c r="AA34" t="n">
        <v>145366.01</v>
      </c>
      <c r="AB34" t="n">
        <v>2497</v>
      </c>
      <c r="AC34">
        <f>AA34*AB34</f>
        <v/>
      </c>
      <c r="AD34" t="n">
        <v>145290.6</v>
      </c>
      <c r="AE34" t="n">
        <v>2698</v>
      </c>
      <c r="AF34">
        <f>AD34*AE34</f>
        <v/>
      </c>
      <c r="AG34" t="n">
        <v>150630.3</v>
      </c>
      <c r="AH34" t="n">
        <v>3408</v>
      </c>
      <c r="AI34">
        <f>AG34*AH34</f>
        <v/>
      </c>
      <c r="AJ34" t="n">
        <v>152242.07</v>
      </c>
      <c r="AK34" t="n">
        <v>3482</v>
      </c>
      <c r="AL34">
        <f>AJ34*AK34</f>
        <v/>
      </c>
      <c r="AM34" t="n">
        <v>157935.22</v>
      </c>
      <c r="AN34" t="n">
        <v>3725</v>
      </c>
      <c r="AO34">
        <f>AM34*AN34</f>
        <v/>
      </c>
      <c r="AP34" t="n">
        <v>146703.44</v>
      </c>
      <c r="AQ34" t="n">
        <v>3597</v>
      </c>
      <c r="AR34">
        <f>AP34*AQ34</f>
        <v/>
      </c>
      <c r="AS34" t="n">
        <v>148386.94</v>
      </c>
      <c r="AT34" t="n">
        <v>3174</v>
      </c>
      <c r="AU34">
        <f>AS34*AT34</f>
        <v/>
      </c>
      <c r="AV34" t="n">
        <v>133584.5</v>
      </c>
      <c r="AW34" t="n">
        <v>2767</v>
      </c>
      <c r="AX34">
        <f>AV34*AW34</f>
        <v/>
      </c>
      <c r="AY34">
        <f>IFERROR(BA34/AZ34,0)</f>
        <v/>
      </c>
      <c r="AZ34">
        <f>SUM(P34,S34,V34,Y34,AB34,AE34,AH34,AK34,AN34,AQ34,AT34,AW34)</f>
        <v/>
      </c>
      <c r="BA34">
        <f>SUM(Q34,T34,W34,Z34,AC34,AF34,AI34,AL34,AO34,AR34,AU34,AX34)</f>
        <v/>
      </c>
      <c r="BB34">
        <f>AY34-L34</f>
        <v/>
      </c>
      <c r="BC34">
        <f>IFERROR(BB34/L34,0)</f>
        <v/>
      </c>
      <c r="BF34">
        <f>VLOOKUP("고정형"&amp;J34,인자!A:D,4,0)</f>
        <v/>
      </c>
    </row>
    <row r="35">
      <c r="A35" t="inlineStr">
        <is>
          <t>산전 영업부문</t>
        </is>
      </c>
      <c r="B35" t="inlineStr">
        <is>
          <t>산전 고정형</t>
        </is>
      </c>
      <c r="C35">
        <f>D35&amp;J35</f>
        <v/>
      </c>
      <c r="D35" t="n">
        <v>9054988</v>
      </c>
      <c r="E35" t="inlineStr">
        <is>
          <t>참좋은상사H</t>
        </is>
      </c>
      <c r="F35" t="n">
        <v>9054988</v>
      </c>
      <c r="G35" t="inlineStr">
        <is>
          <t>참좋은상사H</t>
        </is>
      </c>
      <c r="H35" t="inlineStr">
        <is>
          <t>박도윤</t>
        </is>
      </c>
      <c r="I35" t="inlineStr">
        <is>
          <t>광주</t>
        </is>
      </c>
      <c r="J35" t="inlineStr">
        <is>
          <t>LM</t>
        </is>
      </c>
      <c r="L35" t="n">
        <v>116835.64</v>
      </c>
      <c r="M35" t="n">
        <v>1743</v>
      </c>
      <c r="N35">
        <f>L35*M35</f>
        <v/>
      </c>
      <c r="O35" t="n">
        <v>115777.09</v>
      </c>
      <c r="P35" t="n">
        <v>1573</v>
      </c>
      <c r="Q35">
        <f>O35*P35</f>
        <v/>
      </c>
      <c r="R35" t="n">
        <v>125706.74</v>
      </c>
      <c r="S35" t="n">
        <v>1511</v>
      </c>
      <c r="T35">
        <f>R35*S35</f>
        <v/>
      </c>
      <c r="U35" t="n">
        <v>127378.98</v>
      </c>
      <c r="V35" t="n">
        <v>1661</v>
      </c>
      <c r="W35">
        <f>U35*V35</f>
        <v/>
      </c>
      <c r="X35" t="n">
        <v>124661.55</v>
      </c>
      <c r="Y35" t="n">
        <v>1712</v>
      </c>
      <c r="Z35">
        <f>X35*Y35</f>
        <v/>
      </c>
      <c r="AA35" t="n">
        <v>122654.62</v>
      </c>
      <c r="AB35" t="n">
        <v>1275</v>
      </c>
      <c r="AC35">
        <f>AA35*AB35</f>
        <v/>
      </c>
      <c r="AD35" t="n">
        <v>127395.71</v>
      </c>
      <c r="AE35" t="n">
        <v>1455</v>
      </c>
      <c r="AF35">
        <f>AD35*AE35</f>
        <v/>
      </c>
      <c r="AG35" t="n">
        <v>106755.49</v>
      </c>
      <c r="AH35" t="n">
        <v>2221</v>
      </c>
      <c r="AI35">
        <f>AG35*AH35</f>
        <v/>
      </c>
      <c r="AJ35" t="n">
        <v>106092.79</v>
      </c>
      <c r="AK35" t="n">
        <v>1253</v>
      </c>
      <c r="AL35">
        <f>AJ35*AK35</f>
        <v/>
      </c>
      <c r="AM35" t="n">
        <v>110930.38</v>
      </c>
      <c r="AN35" t="n">
        <v>2098</v>
      </c>
      <c r="AO35">
        <f>AM35*AN35</f>
        <v/>
      </c>
      <c r="AP35" t="n">
        <v>119670.91</v>
      </c>
      <c r="AQ35" t="n">
        <v>1470</v>
      </c>
      <c r="AR35">
        <f>AP35*AQ35</f>
        <v/>
      </c>
      <c r="AS35" t="n">
        <v>116217.84</v>
      </c>
      <c r="AT35" t="n">
        <v>1340</v>
      </c>
      <c r="AU35">
        <f>AS35*AT35</f>
        <v/>
      </c>
      <c r="AV35" t="n">
        <v>127298.44</v>
      </c>
      <c r="AW35" t="n">
        <v>1706</v>
      </c>
      <c r="AX35">
        <f>AV35*AW35</f>
        <v/>
      </c>
      <c r="AY35">
        <f>IFERROR(BA35/AZ35,0)</f>
        <v/>
      </c>
      <c r="AZ35">
        <f>SUM(P35,S35,V35,Y35,AB35,AE35,AH35,AK35,AN35,AQ35,AT35,AW35)</f>
        <v/>
      </c>
      <c r="BA35">
        <f>SUM(Q35,T35,W35,Z35,AC35,AF35,AI35,AL35,AO35,AR35,AU35,AX35)</f>
        <v/>
      </c>
      <c r="BB35">
        <f>AY35-L35</f>
        <v/>
      </c>
      <c r="BC35">
        <f>IFERROR(BB35/L35,0)</f>
        <v/>
      </c>
      <c r="BF35">
        <f>VLOOKUP("고정형"&amp;J35,인자!A:D,4,0)</f>
        <v/>
      </c>
    </row>
    <row r="36">
      <c r="A36" t="inlineStr">
        <is>
          <t>산전 영업부문</t>
        </is>
      </c>
      <c r="B36" t="inlineStr">
        <is>
          <t>산전 고정형</t>
        </is>
      </c>
      <c r="C36">
        <f>D36&amp;J36</f>
        <v/>
      </c>
      <c r="D36" t="n">
        <v>9073564</v>
      </c>
      <c r="E36" t="inlineStr">
        <is>
          <t>가상상사E</t>
        </is>
      </c>
      <c r="F36" t="n">
        <v>9073564</v>
      </c>
      <c r="G36" t="inlineStr">
        <is>
          <t>가상상사E</t>
        </is>
      </c>
      <c r="H36" t="inlineStr">
        <is>
          <t>신태양</t>
        </is>
      </c>
      <c r="I36" t="inlineStr">
        <is>
          <t>창원</t>
        </is>
      </c>
      <c r="J36" t="inlineStr">
        <is>
          <t>GSL 대형</t>
        </is>
      </c>
      <c r="L36" t="n">
        <v>183738.34</v>
      </c>
      <c r="M36" t="n">
        <v>948</v>
      </c>
      <c r="N36">
        <f>L36*M36</f>
        <v/>
      </c>
      <c r="O36" t="n">
        <v>193946.54</v>
      </c>
      <c r="P36" t="n">
        <v>757</v>
      </c>
      <c r="Q36">
        <f>O36*P36</f>
        <v/>
      </c>
      <c r="R36" t="n">
        <v>176794.46</v>
      </c>
      <c r="S36" t="n">
        <v>993</v>
      </c>
      <c r="T36">
        <f>R36*S36</f>
        <v/>
      </c>
      <c r="U36" t="n">
        <v>199498.94</v>
      </c>
      <c r="V36" t="n">
        <v>991</v>
      </c>
      <c r="W36">
        <f>U36*V36</f>
        <v/>
      </c>
      <c r="X36" t="n">
        <v>198732.35</v>
      </c>
      <c r="Y36" t="n">
        <v>877</v>
      </c>
      <c r="Z36">
        <f>X36*Y36</f>
        <v/>
      </c>
      <c r="AA36" t="n">
        <v>199961.35</v>
      </c>
      <c r="AB36" t="n">
        <v>776</v>
      </c>
      <c r="AC36">
        <f>AA36*AB36</f>
        <v/>
      </c>
      <c r="AD36" t="n">
        <v>187122.72</v>
      </c>
      <c r="AE36" t="n">
        <v>1136</v>
      </c>
      <c r="AF36">
        <f>AD36*AE36</f>
        <v/>
      </c>
      <c r="AG36" t="n">
        <v>174288.65</v>
      </c>
      <c r="AH36" t="n">
        <v>1060</v>
      </c>
      <c r="AI36">
        <f>AG36*AH36</f>
        <v/>
      </c>
      <c r="AJ36" t="n">
        <v>176446.97</v>
      </c>
      <c r="AK36" t="n">
        <v>1053</v>
      </c>
      <c r="AL36">
        <f>AJ36*AK36</f>
        <v/>
      </c>
      <c r="AM36" t="n">
        <v>194965.78</v>
      </c>
      <c r="AN36" t="n">
        <v>1116</v>
      </c>
      <c r="AO36">
        <f>AM36*AN36</f>
        <v/>
      </c>
      <c r="AP36" t="n">
        <v>186161.21</v>
      </c>
      <c r="AQ36" t="n">
        <v>687</v>
      </c>
      <c r="AR36">
        <f>AP36*AQ36</f>
        <v/>
      </c>
      <c r="AS36" t="n">
        <v>184941.65</v>
      </c>
      <c r="AT36" t="n">
        <v>1040</v>
      </c>
      <c r="AU36">
        <f>AS36*AT36</f>
        <v/>
      </c>
      <c r="AV36" t="n">
        <v>167898.51</v>
      </c>
      <c r="AW36" t="n">
        <v>1032</v>
      </c>
      <c r="AX36">
        <f>AV36*AW36</f>
        <v/>
      </c>
      <c r="AY36">
        <f>IFERROR(BA36/AZ36,0)</f>
        <v/>
      </c>
      <c r="AZ36">
        <f>SUM(P36,S36,V36,Y36,AB36,AE36,AH36,AK36,AN36,AQ36,AT36,AW36)</f>
        <v/>
      </c>
      <c r="BA36">
        <f>SUM(Q36,T36,W36,Z36,AC36,AF36,AI36,AL36,AO36,AR36,AU36,AX36)</f>
        <v/>
      </c>
      <c r="BB36">
        <f>AY36-L36</f>
        <v/>
      </c>
      <c r="BC36">
        <f>IFERROR(BB36/L36,0)</f>
        <v/>
      </c>
      <c r="BF36">
        <f>VLOOKUP("고정형"&amp;J36,인자!A:D,4,0)</f>
        <v/>
      </c>
    </row>
    <row r="37">
      <c r="A37" t="inlineStr">
        <is>
          <t>산전 영업부문</t>
        </is>
      </c>
      <c r="B37" t="inlineStr">
        <is>
          <t>산전 고정형</t>
        </is>
      </c>
      <c r="C37">
        <f>D37&amp;J37</f>
        <v/>
      </c>
      <c r="D37" t="n">
        <v>9004166</v>
      </c>
      <c r="E37" t="inlineStr">
        <is>
          <t>미래모터스A</t>
        </is>
      </c>
      <c r="F37" t="n">
        <v>9004166</v>
      </c>
      <c r="G37" t="inlineStr">
        <is>
          <t>미래모터스A</t>
        </is>
      </c>
      <c r="H37" t="inlineStr">
        <is>
          <t>권나윤</t>
        </is>
      </c>
      <c r="I37" t="inlineStr">
        <is>
          <t>창원</t>
        </is>
      </c>
      <c r="J37" t="inlineStr">
        <is>
          <t>RP 대형</t>
        </is>
      </c>
      <c r="L37" t="n">
        <v>36133.97</v>
      </c>
      <c r="M37" t="n">
        <v>2977</v>
      </c>
      <c r="N37">
        <f>L37*M37</f>
        <v/>
      </c>
      <c r="O37" t="n">
        <v>37113.82</v>
      </c>
      <c r="P37" t="n">
        <v>3564</v>
      </c>
      <c r="Q37">
        <f>O37*P37</f>
        <v/>
      </c>
      <c r="R37" t="n">
        <v>37632.15</v>
      </c>
      <c r="S37" t="n">
        <v>2862</v>
      </c>
      <c r="T37">
        <f>R37*S37</f>
        <v/>
      </c>
      <c r="U37" t="n">
        <v>37823.56</v>
      </c>
      <c r="V37" t="n">
        <v>3808</v>
      </c>
      <c r="W37">
        <f>U37*V37</f>
        <v/>
      </c>
      <c r="X37" t="n">
        <v>34472.4</v>
      </c>
      <c r="Y37" t="n">
        <v>3528</v>
      </c>
      <c r="Z37">
        <f>X37*Y37</f>
        <v/>
      </c>
      <c r="AA37" t="n">
        <v>36409.84</v>
      </c>
      <c r="AB37" t="n">
        <v>2948</v>
      </c>
      <c r="AC37">
        <f>AA37*AB37</f>
        <v/>
      </c>
      <c r="AD37" t="n">
        <v>35668.38</v>
      </c>
      <c r="AE37" t="n">
        <v>3390</v>
      </c>
      <c r="AF37">
        <f>AD37*AE37</f>
        <v/>
      </c>
      <c r="AG37" t="n">
        <v>34460.21</v>
      </c>
      <c r="AH37" t="n">
        <v>3605</v>
      </c>
      <c r="AI37">
        <f>AG37*AH37</f>
        <v/>
      </c>
      <c r="AJ37" t="n">
        <v>38524.09</v>
      </c>
      <c r="AK37" t="n">
        <v>2239</v>
      </c>
      <c r="AL37">
        <f>AJ37*AK37</f>
        <v/>
      </c>
      <c r="AM37" t="n">
        <v>38891.94</v>
      </c>
      <c r="AN37" t="n">
        <v>2519</v>
      </c>
      <c r="AO37">
        <f>AM37*AN37</f>
        <v/>
      </c>
      <c r="AP37" t="n">
        <v>35878.93</v>
      </c>
      <c r="AQ37" t="n">
        <v>3174</v>
      </c>
      <c r="AR37">
        <f>AP37*AQ37</f>
        <v/>
      </c>
      <c r="AS37" t="n">
        <v>35259.45</v>
      </c>
      <c r="AT37" t="n">
        <v>2135</v>
      </c>
      <c r="AU37">
        <f>AS37*AT37</f>
        <v/>
      </c>
      <c r="AV37" t="n">
        <v>38670.23</v>
      </c>
      <c r="AW37" t="n">
        <v>2409</v>
      </c>
      <c r="AX37">
        <f>AV37*AW37</f>
        <v/>
      </c>
      <c r="AY37">
        <f>IFERROR(BA37/AZ37,0)</f>
        <v/>
      </c>
      <c r="AZ37">
        <f>SUM(P37,S37,V37,Y37,AB37,AE37,AH37,AK37,AN37,AQ37,AT37,AW37)</f>
        <v/>
      </c>
      <c r="BA37">
        <f>SUM(Q37,T37,W37,Z37,AC37,AF37,AI37,AL37,AO37,AR37,AU37,AX37)</f>
        <v/>
      </c>
      <c r="BB37">
        <f>AY37-L37</f>
        <v/>
      </c>
      <c r="BC37">
        <f>IFERROR(BB37/L37,0)</f>
        <v/>
      </c>
      <c r="BF37">
        <f>VLOOKUP("고정형"&amp;J37,인자!A:D,4,0)</f>
        <v/>
      </c>
    </row>
    <row r="38">
      <c r="A38" t="inlineStr">
        <is>
          <t>산전 영업부문</t>
        </is>
      </c>
      <c r="B38" t="inlineStr">
        <is>
          <t>산전 고정형</t>
        </is>
      </c>
      <c r="C38">
        <f>D38&amp;J38</f>
        <v/>
      </c>
      <c r="D38" t="n">
        <v>9078908</v>
      </c>
      <c r="E38" t="inlineStr">
        <is>
          <t>참좋은상사D</t>
        </is>
      </c>
      <c r="F38" t="n">
        <v>9078908</v>
      </c>
      <c r="G38" t="inlineStr">
        <is>
          <t>참좋은상사D</t>
        </is>
      </c>
      <c r="H38" t="inlineStr">
        <is>
          <t>강시우</t>
        </is>
      </c>
      <c r="I38" t="inlineStr">
        <is>
          <t>창원</t>
        </is>
      </c>
      <c r="J38" t="inlineStr">
        <is>
          <t>MSB 소형</t>
        </is>
      </c>
      <c r="L38" t="n">
        <v>87499.25</v>
      </c>
      <c r="M38" t="n">
        <v>4893</v>
      </c>
      <c r="N38">
        <f>L38*M38</f>
        <v/>
      </c>
      <c r="O38" t="n">
        <v>91019.94</v>
      </c>
      <c r="P38" t="n">
        <v>4236</v>
      </c>
      <c r="Q38">
        <f>O38*P38</f>
        <v/>
      </c>
      <c r="R38" t="n">
        <v>78926.97</v>
      </c>
      <c r="S38" t="n">
        <v>6208</v>
      </c>
      <c r="T38">
        <f>R38*S38</f>
        <v/>
      </c>
      <c r="U38" t="n">
        <v>80247.53999999999</v>
      </c>
      <c r="V38" t="n">
        <v>5539</v>
      </c>
      <c r="W38">
        <f>U38*V38</f>
        <v/>
      </c>
      <c r="X38" t="n">
        <v>87299.36</v>
      </c>
      <c r="Y38" t="n">
        <v>5651</v>
      </c>
      <c r="Z38">
        <f>X38*Y38</f>
        <v/>
      </c>
      <c r="AA38" t="n">
        <v>90834.88</v>
      </c>
      <c r="AB38" t="n">
        <v>5321</v>
      </c>
      <c r="AC38">
        <f>AA38*AB38</f>
        <v/>
      </c>
      <c r="AD38" t="n">
        <v>87338.62</v>
      </c>
      <c r="AE38" t="n">
        <v>5753</v>
      </c>
      <c r="AF38">
        <f>AD38*AE38</f>
        <v/>
      </c>
      <c r="AG38" t="n">
        <v>80377.74000000001</v>
      </c>
      <c r="AH38" t="n">
        <v>4076</v>
      </c>
      <c r="AI38">
        <f>AG38*AH38</f>
        <v/>
      </c>
      <c r="AJ38" t="n">
        <v>90855.5</v>
      </c>
      <c r="AK38" t="n">
        <v>4324</v>
      </c>
      <c r="AL38">
        <f>AJ38*AK38</f>
        <v/>
      </c>
      <c r="AM38" t="n">
        <v>88926.46000000001</v>
      </c>
      <c r="AN38" t="n">
        <v>4814</v>
      </c>
      <c r="AO38">
        <f>AM38*AN38</f>
        <v/>
      </c>
      <c r="AP38" t="n">
        <v>88040.38</v>
      </c>
      <c r="AQ38" t="n">
        <v>4674</v>
      </c>
      <c r="AR38">
        <f>AP38*AQ38</f>
        <v/>
      </c>
      <c r="AS38" t="n">
        <v>91803.08</v>
      </c>
      <c r="AT38" t="n">
        <v>4396</v>
      </c>
      <c r="AU38">
        <f>AS38*AT38</f>
        <v/>
      </c>
      <c r="AV38" t="n">
        <v>91049.17999999999</v>
      </c>
      <c r="AW38" t="n">
        <v>4220</v>
      </c>
      <c r="AX38">
        <f>AV38*AW38</f>
        <v/>
      </c>
      <c r="AY38">
        <f>IFERROR(BA38/AZ38,0)</f>
        <v/>
      </c>
      <c r="AZ38">
        <f>SUM(P38,S38,V38,Y38,AB38,AE38,AH38,AK38,AN38,AQ38,AT38,AW38)</f>
        <v/>
      </c>
      <c r="BA38">
        <f>SUM(Q38,T38,W38,Z38,AC38,AF38,AI38,AL38,AO38,AR38,AU38,AX38)</f>
        <v/>
      </c>
      <c r="BB38">
        <f>AY38-L38</f>
        <v/>
      </c>
      <c r="BC38">
        <f>IFERROR(BB38/L38,0)</f>
        <v/>
      </c>
      <c r="BF38">
        <f>VLOOKUP("고정형"&amp;J38,인자!A:D,4,0)</f>
        <v/>
      </c>
    </row>
    <row r="39">
      <c r="A39" t="inlineStr">
        <is>
          <t>산전 영업부문</t>
        </is>
      </c>
      <c r="B39" t="inlineStr">
        <is>
          <t>산전 고정형</t>
        </is>
      </c>
      <c r="C39">
        <f>D39&amp;J39</f>
        <v/>
      </c>
      <c r="D39" t="n">
        <v>9073564</v>
      </c>
      <c r="E39" t="inlineStr">
        <is>
          <t>가상상사E</t>
        </is>
      </c>
      <c r="F39" t="n">
        <v>9073564</v>
      </c>
      <c r="G39" t="inlineStr">
        <is>
          <t>가상상사E</t>
        </is>
      </c>
      <c r="H39" t="inlineStr">
        <is>
          <t>최지우</t>
        </is>
      </c>
      <c r="I39" t="inlineStr">
        <is>
          <t>광주</t>
        </is>
      </c>
      <c r="J39" t="inlineStr">
        <is>
          <t>GSL 소형</t>
        </is>
      </c>
      <c r="L39" t="n">
        <v>98086.64</v>
      </c>
      <c r="M39" t="n">
        <v>4399</v>
      </c>
      <c r="N39">
        <f>L39*M39</f>
        <v/>
      </c>
      <c r="O39" t="n">
        <v>106931.65</v>
      </c>
      <c r="P39" t="n">
        <v>4901</v>
      </c>
      <c r="Q39">
        <f>O39*P39</f>
        <v/>
      </c>
      <c r="R39" t="n">
        <v>92035.5</v>
      </c>
      <c r="S39" t="n">
        <v>5029</v>
      </c>
      <c r="T39">
        <f>R39*S39</f>
        <v/>
      </c>
      <c r="U39" t="n">
        <v>93702.16</v>
      </c>
      <c r="V39" t="n">
        <v>4635</v>
      </c>
      <c r="W39">
        <f>U39*V39</f>
        <v/>
      </c>
      <c r="X39" t="n">
        <v>103191.22</v>
      </c>
      <c r="Y39" t="n">
        <v>4654</v>
      </c>
      <c r="Z39">
        <f>X39*Y39</f>
        <v/>
      </c>
      <c r="AA39" t="n">
        <v>107512.97</v>
      </c>
      <c r="AB39" t="n">
        <v>5277</v>
      </c>
      <c r="AC39">
        <f>AA39*AB39</f>
        <v/>
      </c>
      <c r="AD39" t="n">
        <v>94089.53999999999</v>
      </c>
      <c r="AE39" t="n">
        <v>4032</v>
      </c>
      <c r="AF39">
        <f>AD39*AE39</f>
        <v/>
      </c>
      <c r="AG39" t="n">
        <v>94207.66</v>
      </c>
      <c r="AH39" t="n">
        <v>4948</v>
      </c>
      <c r="AI39">
        <f>AG39*AH39</f>
        <v/>
      </c>
      <c r="AJ39" t="n">
        <v>90761.2</v>
      </c>
      <c r="AK39" t="n">
        <v>3199</v>
      </c>
      <c r="AL39">
        <f>AJ39*AK39</f>
        <v/>
      </c>
      <c r="AM39" t="n">
        <v>89347.63</v>
      </c>
      <c r="AN39" t="n">
        <v>3850</v>
      </c>
      <c r="AO39">
        <f>AM39*AN39</f>
        <v/>
      </c>
      <c r="AP39" t="n">
        <v>106798.49</v>
      </c>
      <c r="AQ39" t="n">
        <v>4763</v>
      </c>
      <c r="AR39">
        <f>AP39*AQ39</f>
        <v/>
      </c>
      <c r="AS39" t="n">
        <v>103045.75</v>
      </c>
      <c r="AT39" t="n">
        <v>3350</v>
      </c>
      <c r="AU39">
        <f>AS39*AT39</f>
        <v/>
      </c>
      <c r="AV39" t="n">
        <v>88518.59</v>
      </c>
      <c r="AW39" t="n">
        <v>3830</v>
      </c>
      <c r="AX39">
        <f>AV39*AW39</f>
        <v/>
      </c>
      <c r="AY39">
        <f>IFERROR(BA39/AZ39,0)</f>
        <v/>
      </c>
      <c r="AZ39">
        <f>SUM(P39,S39,V39,Y39,AB39,AE39,AH39,AK39,AN39,AQ39,AT39,AW39)</f>
        <v/>
      </c>
      <c r="BA39">
        <f>SUM(Q39,T39,W39,Z39,AC39,AF39,AI39,AL39,AO39,AR39,AU39,AX39)</f>
        <v/>
      </c>
      <c r="BB39">
        <f>AY39-L39</f>
        <v/>
      </c>
      <c r="BC39">
        <f>IFERROR(BB39/L39,0)</f>
        <v/>
      </c>
      <c r="BF39">
        <f>VLOOKUP("고정형"&amp;J39,인자!A:D,4,0)</f>
        <v/>
      </c>
    </row>
    <row r="40">
      <c r="A40" t="inlineStr">
        <is>
          <t>산전 영업부문</t>
        </is>
      </c>
      <c r="B40" t="inlineStr">
        <is>
          <t>산전 고정형</t>
        </is>
      </c>
      <c r="C40">
        <f>D40&amp;J40</f>
        <v/>
      </c>
      <c r="D40" t="n">
        <v>9054988</v>
      </c>
      <c r="E40" t="inlineStr">
        <is>
          <t>참좋은상사H</t>
        </is>
      </c>
      <c r="F40" t="n">
        <v>9054988</v>
      </c>
      <c r="G40" t="inlineStr">
        <is>
          <t>참좋은상사H</t>
        </is>
      </c>
      <c r="H40" t="inlineStr">
        <is>
          <t>윤재원</t>
        </is>
      </c>
      <c r="I40" t="inlineStr">
        <is>
          <t>창원</t>
        </is>
      </c>
      <c r="J40" t="inlineStr">
        <is>
          <t>GSL 대형</t>
        </is>
      </c>
      <c r="L40" t="n">
        <v>289821.8</v>
      </c>
      <c r="M40" t="n">
        <v>2078</v>
      </c>
      <c r="N40">
        <f>L40*M40</f>
        <v/>
      </c>
      <c r="O40" t="n">
        <v>315387.77</v>
      </c>
      <c r="P40" t="n">
        <v>2050</v>
      </c>
      <c r="Q40">
        <f>O40*P40</f>
        <v/>
      </c>
      <c r="R40" t="n">
        <v>308493.03</v>
      </c>
      <c r="S40" t="n">
        <v>1954</v>
      </c>
      <c r="T40">
        <f>R40*S40</f>
        <v/>
      </c>
      <c r="U40" t="n">
        <v>265133.75</v>
      </c>
      <c r="V40" t="n">
        <v>2239</v>
      </c>
      <c r="W40">
        <f>U40*V40</f>
        <v/>
      </c>
      <c r="X40" t="n">
        <v>263947.04</v>
      </c>
      <c r="Y40" t="n">
        <v>1641</v>
      </c>
      <c r="Z40">
        <f>X40*Y40</f>
        <v/>
      </c>
      <c r="AA40" t="n">
        <v>293464.26</v>
      </c>
      <c r="AB40" t="n">
        <v>1833</v>
      </c>
      <c r="AC40">
        <f>AA40*AB40</f>
        <v/>
      </c>
      <c r="AD40" t="n">
        <v>318451.45</v>
      </c>
      <c r="AE40" t="n">
        <v>1602</v>
      </c>
      <c r="AF40">
        <f>AD40*AE40</f>
        <v/>
      </c>
      <c r="AG40" t="n">
        <v>305150.1</v>
      </c>
      <c r="AH40" t="n">
        <v>2211</v>
      </c>
      <c r="AI40">
        <f>AG40*AH40</f>
        <v/>
      </c>
      <c r="AJ40" t="n">
        <v>306674.41</v>
      </c>
      <c r="AK40" t="n">
        <v>1736</v>
      </c>
      <c r="AL40">
        <f>AJ40*AK40</f>
        <v/>
      </c>
      <c r="AM40" t="n">
        <v>291130.2</v>
      </c>
      <c r="AN40" t="n">
        <v>2016</v>
      </c>
      <c r="AO40">
        <f>AM40*AN40</f>
        <v/>
      </c>
      <c r="AP40" t="n">
        <v>286501.66</v>
      </c>
      <c r="AQ40" t="n">
        <v>2527</v>
      </c>
      <c r="AR40">
        <f>AP40*AQ40</f>
        <v/>
      </c>
      <c r="AS40" t="n">
        <v>318226.15</v>
      </c>
      <c r="AT40" t="n">
        <v>1835</v>
      </c>
      <c r="AU40">
        <f>AS40*AT40</f>
        <v/>
      </c>
      <c r="AV40" t="n">
        <v>296837.07</v>
      </c>
      <c r="AW40" t="n">
        <v>2215</v>
      </c>
      <c r="AX40">
        <f>AV40*AW40</f>
        <v/>
      </c>
      <c r="AY40">
        <f>IFERROR(BA40/AZ40,0)</f>
        <v/>
      </c>
      <c r="AZ40">
        <f>SUM(P40,S40,V40,Y40,AB40,AE40,AH40,AK40,AN40,AQ40,AT40,AW40)</f>
        <v/>
      </c>
      <c r="BA40">
        <f>SUM(Q40,T40,W40,Z40,AC40,AF40,AI40,AL40,AO40,AR40,AU40,AX40)</f>
        <v/>
      </c>
      <c r="BB40">
        <f>AY40-L40</f>
        <v/>
      </c>
      <c r="BC40">
        <f>IFERROR(BB40/L40,0)</f>
        <v/>
      </c>
      <c r="BF40">
        <f>VLOOKUP("고정형"&amp;J40,인자!A:D,4,0)</f>
        <v/>
      </c>
    </row>
    <row r="41">
      <c r="A41" t="inlineStr">
        <is>
          <t>산전 영업부문</t>
        </is>
      </c>
      <c r="B41" t="inlineStr">
        <is>
          <t>산전 고정형</t>
        </is>
      </c>
      <c r="C41">
        <f>D41&amp;J41</f>
        <v/>
      </c>
      <c r="D41" t="n">
        <v>9012281</v>
      </c>
      <c r="E41" t="inlineStr">
        <is>
          <t>가상상사B</t>
        </is>
      </c>
      <c r="F41" t="n">
        <v>9012281</v>
      </c>
      <c r="G41" t="inlineStr">
        <is>
          <t>가상상사B</t>
        </is>
      </c>
      <c r="H41" t="inlineStr">
        <is>
          <t>신태양</t>
        </is>
      </c>
      <c r="I41" t="inlineStr">
        <is>
          <t>광주</t>
        </is>
      </c>
      <c r="J41" t="inlineStr">
        <is>
          <t>VGS 중형</t>
        </is>
      </c>
      <c r="L41" t="n">
        <v>67252.42999999999</v>
      </c>
      <c r="M41" t="n">
        <v>675</v>
      </c>
      <c r="N41">
        <f>L41*M41</f>
        <v/>
      </c>
      <c r="O41" t="n">
        <v>62639.68</v>
      </c>
      <c r="P41" t="n">
        <v>543</v>
      </c>
      <c r="Q41">
        <f>O41*P41</f>
        <v/>
      </c>
      <c r="R41" t="n">
        <v>61536.85</v>
      </c>
      <c r="S41" t="n">
        <v>474</v>
      </c>
      <c r="T41">
        <f>R41*S41</f>
        <v/>
      </c>
      <c r="U41" t="n">
        <v>66586.67999999999</v>
      </c>
      <c r="V41" t="n">
        <v>713</v>
      </c>
      <c r="W41">
        <f>U41*V41</f>
        <v/>
      </c>
      <c r="X41" t="n">
        <v>64444.77</v>
      </c>
      <c r="Y41" t="n">
        <v>566</v>
      </c>
      <c r="Z41">
        <f>X41*Y41</f>
        <v/>
      </c>
      <c r="AA41" t="n">
        <v>70036.09</v>
      </c>
      <c r="AB41" t="n">
        <v>757</v>
      </c>
      <c r="AC41">
        <f>AA41*AB41</f>
        <v/>
      </c>
      <c r="AD41" t="n">
        <v>66634.13</v>
      </c>
      <c r="AE41" t="n">
        <v>751</v>
      </c>
      <c r="AF41">
        <f>AD41*AE41</f>
        <v/>
      </c>
      <c r="AG41" t="n">
        <v>72954.24000000001</v>
      </c>
      <c r="AH41" t="n">
        <v>792</v>
      </c>
      <c r="AI41">
        <f>AG41*AH41</f>
        <v/>
      </c>
      <c r="AJ41" t="n">
        <v>68934.52</v>
      </c>
      <c r="AK41" t="n">
        <v>740</v>
      </c>
      <c r="AL41">
        <f>AJ41*AK41</f>
        <v/>
      </c>
      <c r="AM41" t="n">
        <v>73085.48</v>
      </c>
      <c r="AN41" t="n">
        <v>645</v>
      </c>
      <c r="AO41">
        <f>AM41*AN41</f>
        <v/>
      </c>
      <c r="AP41" t="n">
        <v>67851.82000000001</v>
      </c>
      <c r="AQ41" t="n">
        <v>735</v>
      </c>
      <c r="AR41">
        <f>AP41*AQ41</f>
        <v/>
      </c>
      <c r="AS41" t="n">
        <v>72745.75999999999</v>
      </c>
      <c r="AT41" t="n">
        <v>807</v>
      </c>
      <c r="AU41">
        <f>AS41*AT41</f>
        <v/>
      </c>
      <c r="AV41" t="n">
        <v>61487.68</v>
      </c>
      <c r="AW41" t="n">
        <v>540</v>
      </c>
      <c r="AX41">
        <f>AV41*AW41</f>
        <v/>
      </c>
      <c r="AY41">
        <f>IFERROR(BA41/AZ41,0)</f>
        <v/>
      </c>
      <c r="AZ41">
        <f>SUM(P41,S41,V41,Y41,AB41,AE41,AH41,AK41,AN41,AQ41,AT41,AW41)</f>
        <v/>
      </c>
      <c r="BA41">
        <f>SUM(Q41,T41,W41,Z41,AC41,AF41,AI41,AL41,AO41,AR41,AU41,AX41)</f>
        <v/>
      </c>
      <c r="BB41">
        <f>AY41-L41</f>
        <v/>
      </c>
      <c r="BC41">
        <f>IFERROR(BB41/L41,0)</f>
        <v/>
      </c>
      <c r="BF41">
        <f>VLOOKUP("고정형"&amp;J41,인자!A:D,4,0)</f>
        <v/>
      </c>
    </row>
    <row r="42">
      <c r="A42" t="inlineStr">
        <is>
          <t>산전 영업부문</t>
        </is>
      </c>
      <c r="B42" t="inlineStr">
        <is>
          <t>산전 고정형</t>
        </is>
      </c>
      <c r="C42">
        <f>D42&amp;J42</f>
        <v/>
      </c>
      <c r="D42" t="n">
        <v>9073564</v>
      </c>
      <c r="E42" t="inlineStr">
        <is>
          <t>가상상사E</t>
        </is>
      </c>
      <c r="F42" t="n">
        <v>9073564</v>
      </c>
      <c r="G42" t="inlineStr">
        <is>
          <t>가상상사E</t>
        </is>
      </c>
      <c r="H42" t="inlineStr">
        <is>
          <t>임도현</t>
        </is>
      </c>
      <c r="I42" t="inlineStr">
        <is>
          <t>상품</t>
        </is>
      </c>
      <c r="J42" t="inlineStr">
        <is>
          <t>VGS 대형</t>
        </is>
      </c>
      <c r="L42" t="n">
        <v>276751.8</v>
      </c>
      <c r="M42" t="n">
        <v>3607</v>
      </c>
      <c r="N42">
        <f>L42*M42</f>
        <v/>
      </c>
      <c r="O42" t="n">
        <v>255959.64</v>
      </c>
      <c r="P42" t="n">
        <v>4015</v>
      </c>
      <c r="Q42">
        <f>O42*P42</f>
        <v/>
      </c>
      <c r="R42" t="n">
        <v>287807.13</v>
      </c>
      <c r="S42" t="n">
        <v>4565</v>
      </c>
      <c r="T42">
        <f>R42*S42</f>
        <v/>
      </c>
      <c r="U42" t="n">
        <v>276777.94</v>
      </c>
      <c r="V42" t="n">
        <v>3594</v>
      </c>
      <c r="W42">
        <f>U42*V42</f>
        <v/>
      </c>
      <c r="X42" t="n">
        <v>253529.11</v>
      </c>
      <c r="Y42" t="n">
        <v>2611</v>
      </c>
      <c r="Z42">
        <f>X42*Y42</f>
        <v/>
      </c>
      <c r="AA42" t="n">
        <v>272989.56</v>
      </c>
      <c r="AB42" t="n">
        <v>3222</v>
      </c>
      <c r="AC42">
        <f>AA42*AB42</f>
        <v/>
      </c>
      <c r="AD42" t="n">
        <v>262934.57</v>
      </c>
      <c r="AE42" t="n">
        <v>2723</v>
      </c>
      <c r="AF42">
        <f>AD42*AE42</f>
        <v/>
      </c>
      <c r="AG42" t="n">
        <v>302318.75</v>
      </c>
      <c r="AH42" t="n">
        <v>4334</v>
      </c>
      <c r="AI42">
        <f>AG42*AH42</f>
        <v/>
      </c>
      <c r="AJ42" t="n">
        <v>280914.1</v>
      </c>
      <c r="AK42" t="n">
        <v>4583</v>
      </c>
      <c r="AL42">
        <f>AJ42*AK42</f>
        <v/>
      </c>
      <c r="AM42" t="n">
        <v>304403.31</v>
      </c>
      <c r="AN42" t="n">
        <v>3980</v>
      </c>
      <c r="AO42">
        <f>AM42*AN42</f>
        <v/>
      </c>
      <c r="AP42" t="n">
        <v>263994.15</v>
      </c>
      <c r="AQ42" t="n">
        <v>2612</v>
      </c>
      <c r="AR42">
        <f>AP42*AQ42</f>
        <v/>
      </c>
      <c r="AS42" t="n">
        <v>290936.37</v>
      </c>
      <c r="AT42" t="n">
        <v>3543</v>
      </c>
      <c r="AU42">
        <f>AS42*AT42</f>
        <v/>
      </c>
      <c r="AV42" t="n">
        <v>285137.9</v>
      </c>
      <c r="AW42" t="n">
        <v>4507</v>
      </c>
      <c r="AX42">
        <f>AV42*AW42</f>
        <v/>
      </c>
      <c r="AY42">
        <f>IFERROR(BA42/AZ42,0)</f>
        <v/>
      </c>
      <c r="AZ42">
        <f>SUM(P42,S42,V42,Y42,AB42,AE42,AH42,AK42,AN42,AQ42,AT42,AW42)</f>
        <v/>
      </c>
      <c r="BA42">
        <f>SUM(Q42,T42,W42,Z42,AC42,AF42,AI42,AL42,AO42,AR42,AU42,AX42)</f>
        <v/>
      </c>
      <c r="BB42">
        <f>AY42-L42</f>
        <v/>
      </c>
      <c r="BC42">
        <f>IFERROR(BB42/L42,0)</f>
        <v/>
      </c>
      <c r="BF42">
        <f>VLOOKUP("고정형"&amp;J42,인자!A:D,4,0)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F4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</cols>
  <sheetData>
    <row r="2">
      <c r="A2" s="1" t="inlineStr">
        <is>
          <t xml:space="preserve"> 2026년 산전 모티브 판매계획 (더미데이터)</t>
        </is>
      </c>
    </row>
    <row r="6">
      <c r="A6" s="2" t="inlineStr">
        <is>
          <t>1. 기본정보</t>
        </is>
      </c>
    </row>
    <row r="7">
      <c r="A7" s="3" t="inlineStr">
        <is>
          <t>구분</t>
        </is>
      </c>
      <c r="B7" s="3" t="inlineStr">
        <is>
          <t>25년 8월 누계</t>
        </is>
      </c>
      <c r="C7" s="3" t="inlineStr">
        <is>
          <t>26년 경영계획</t>
        </is>
      </c>
      <c r="D7" s="3" t="inlineStr">
        <is>
          <t>증감율</t>
        </is>
      </c>
    </row>
    <row r="8">
      <c r="A8" t="inlineStr">
        <is>
          <t>LME</t>
        </is>
      </c>
      <c r="B8" t="n">
        <v>1872.6</v>
      </c>
      <c r="C8" t="n">
        <v>2034.13</v>
      </c>
      <c r="D8">
        <f>C8/B8-1</f>
        <v/>
      </c>
    </row>
    <row r="9">
      <c r="A9" t="inlineStr">
        <is>
          <t>USD</t>
        </is>
      </c>
      <c r="B9" t="n">
        <v>1426.96</v>
      </c>
      <c r="C9" t="n">
        <v>1398.35</v>
      </c>
      <c r="D9">
        <f>C9/B9-1</f>
        <v/>
      </c>
    </row>
    <row r="10">
      <c r="A10" t="inlineStr">
        <is>
          <t>지수</t>
        </is>
      </c>
      <c r="B10">
        <f>B8*B9/1000</f>
        <v/>
      </c>
      <c r="C10">
        <f>C8*C9/1000</f>
        <v/>
      </c>
      <c r="D10">
        <f>C10/B10-1</f>
        <v/>
      </c>
      <c r="I10" t="inlineStr">
        <is>
          <t>※ 더미데이터 안내</t>
        </is>
      </c>
    </row>
    <row r="11">
      <c r="A11" t="inlineStr">
        <is>
          <t>JPY</t>
        </is>
      </c>
      <c r="B11" t="n">
        <v>913.6900000000001</v>
      </c>
      <c r="C11" t="n">
        <v>952.1900000000001</v>
      </c>
      <c r="D11">
        <f>C11/B11-1</f>
        <v/>
      </c>
      <c r="I11" t="inlineStr">
        <is>
          <t>- 본 파일은 판매계획 양식.xlsx의 스키마(시트/컬럼/수식 구조)를 참고하여 생성한 가상 데이터입니다.</t>
        </is>
      </c>
    </row>
    <row r="12">
      <c r="A12" t="inlineStr">
        <is>
          <t>EUR</t>
        </is>
      </c>
      <c r="B12" t="n">
        <v>1550</v>
      </c>
      <c r="C12" t="n">
        <v>1600.52</v>
      </c>
      <c r="D12">
        <f>C12/B12-1</f>
        <v/>
      </c>
      <c r="I12" t="inlineStr">
        <is>
          <t>- 거래처명, 담당자명, 코드, 수량/금액은 전부 무작위로 생성된 값이며 실제 데이터와 무관합니다.</t>
        </is>
      </c>
    </row>
    <row r="15">
      <c r="A15" t="inlineStr">
        <is>
          <t>2026년 판매계획 (더미데이터) - 담당/거래처/수량/금액은 모두 가상 값</t>
        </is>
      </c>
    </row>
    <row r="16">
      <c r="A16" t="inlineStr">
        <is>
          <t>구분</t>
        </is>
      </c>
      <c r="L16" t="inlineStr">
        <is>
          <t>25년 8월 누계</t>
        </is>
      </c>
      <c r="O16" t="inlineStr">
        <is>
          <t>1월</t>
        </is>
      </c>
      <c r="R16" t="inlineStr">
        <is>
          <t>2월</t>
        </is>
      </c>
      <c r="U16" t="inlineStr">
        <is>
          <t>3월</t>
        </is>
      </c>
      <c r="X16" t="inlineStr">
        <is>
          <t>4월</t>
        </is>
      </c>
      <c r="AA16" t="inlineStr">
        <is>
          <t>5월</t>
        </is>
      </c>
      <c r="AD16" t="inlineStr">
        <is>
          <t>6월</t>
        </is>
      </c>
      <c r="AG16" t="inlineStr">
        <is>
          <t>7월</t>
        </is>
      </c>
      <c r="AJ16" t="inlineStr">
        <is>
          <t>8월</t>
        </is>
      </c>
      <c r="AM16" t="inlineStr">
        <is>
          <t>9월</t>
        </is>
      </c>
      <c r="AP16" t="inlineStr">
        <is>
          <t>10월</t>
        </is>
      </c>
      <c r="AS16" t="inlineStr">
        <is>
          <t>11월</t>
        </is>
      </c>
      <c r="AV16" t="inlineStr">
        <is>
          <t>12월</t>
        </is>
      </c>
    </row>
    <row r="17">
      <c r="A17" s="4" t="inlineStr">
        <is>
          <t>담당</t>
        </is>
      </c>
      <c r="B17" s="4" t="inlineStr">
        <is>
          <t>팀</t>
        </is>
      </c>
      <c r="C17" s="4" t="inlineStr">
        <is>
          <t>유통채널</t>
        </is>
      </c>
      <c r="D17" s="4" t="inlineStr">
        <is>
          <t>고객</t>
        </is>
      </c>
      <c r="E17" s="4" t="inlineStr">
        <is>
          <t>고객명</t>
        </is>
      </c>
      <c r="F17" s="4" t="inlineStr">
        <is>
          <t>납품처</t>
        </is>
      </c>
      <c r="G17" s="4" t="inlineStr">
        <is>
          <t>납품처명</t>
        </is>
      </c>
      <c r="H17" s="4" t="inlineStr">
        <is>
          <t>영업담당</t>
        </is>
      </c>
      <c r="I17" s="4" t="inlineStr">
        <is>
          <t>구분</t>
        </is>
      </c>
      <c r="J17" s="4" t="inlineStr">
        <is>
          <t>제품군 구분</t>
        </is>
      </c>
      <c r="K17" s="4" t="inlineStr">
        <is>
          <t>제품코드</t>
        </is>
      </c>
      <c r="L17" s="4" t="inlineStr">
        <is>
          <t>판가</t>
        </is>
      </c>
      <c r="M17" s="4" t="inlineStr">
        <is>
          <t>수량</t>
        </is>
      </c>
      <c r="N17" s="4" t="inlineStr">
        <is>
          <t>금액</t>
        </is>
      </c>
      <c r="O17" s="4" t="inlineStr">
        <is>
          <t>1월 판가</t>
        </is>
      </c>
      <c r="P17" s="4" t="inlineStr">
        <is>
          <t>1월 수량</t>
        </is>
      </c>
      <c r="Q17" s="4" t="inlineStr">
        <is>
          <t>1월 금액</t>
        </is>
      </c>
      <c r="R17" s="4" t="inlineStr">
        <is>
          <t>2월 판가</t>
        </is>
      </c>
      <c r="S17" s="4" t="inlineStr">
        <is>
          <t>2월 수량</t>
        </is>
      </c>
      <c r="T17" s="4" t="inlineStr">
        <is>
          <t>2월 금액</t>
        </is>
      </c>
      <c r="U17" s="4" t="inlineStr">
        <is>
          <t>3월 판가</t>
        </is>
      </c>
      <c r="V17" s="4" t="inlineStr">
        <is>
          <t>3월 수량</t>
        </is>
      </c>
      <c r="W17" s="4" t="inlineStr">
        <is>
          <t>3월 금액</t>
        </is>
      </c>
      <c r="X17" s="4" t="inlineStr">
        <is>
          <t>4월 판가</t>
        </is>
      </c>
      <c r="Y17" s="4" t="inlineStr">
        <is>
          <t>4월 수량</t>
        </is>
      </c>
      <c r="Z17" s="4" t="inlineStr">
        <is>
          <t>4월 금액</t>
        </is>
      </c>
      <c r="AA17" s="4" t="inlineStr">
        <is>
          <t>5월 판가</t>
        </is>
      </c>
      <c r="AB17" s="4" t="inlineStr">
        <is>
          <t>5월 수량</t>
        </is>
      </c>
      <c r="AC17" s="4" t="inlineStr">
        <is>
          <t>5월 금액</t>
        </is>
      </c>
      <c r="AD17" s="4" t="inlineStr">
        <is>
          <t>6월 판가</t>
        </is>
      </c>
      <c r="AE17" s="4" t="inlineStr">
        <is>
          <t>6월 수량</t>
        </is>
      </c>
      <c r="AF17" s="4" t="inlineStr">
        <is>
          <t>6월 금액</t>
        </is>
      </c>
      <c r="AG17" s="4" t="inlineStr">
        <is>
          <t>7월 판가</t>
        </is>
      </c>
      <c r="AH17" s="4" t="inlineStr">
        <is>
          <t>7월 수량</t>
        </is>
      </c>
      <c r="AI17" s="4" t="inlineStr">
        <is>
          <t>7월 금액</t>
        </is>
      </c>
      <c r="AJ17" s="4" t="inlineStr">
        <is>
          <t>8월 판가</t>
        </is>
      </c>
      <c r="AK17" s="4" t="inlineStr">
        <is>
          <t>8월 수량</t>
        </is>
      </c>
      <c r="AL17" s="4" t="inlineStr">
        <is>
          <t>8월 금액</t>
        </is>
      </c>
      <c r="AM17" s="4" t="inlineStr">
        <is>
          <t>9월 판가</t>
        </is>
      </c>
      <c r="AN17" s="4" t="inlineStr">
        <is>
          <t>9월 수량</t>
        </is>
      </c>
      <c r="AO17" s="4" t="inlineStr">
        <is>
          <t>9월 금액</t>
        </is>
      </c>
      <c r="AP17" s="4" t="inlineStr">
        <is>
          <t>10월 판가</t>
        </is>
      </c>
      <c r="AQ17" s="4" t="inlineStr">
        <is>
          <t>10월 수량</t>
        </is>
      </c>
      <c r="AR17" s="4" t="inlineStr">
        <is>
          <t>10월 금액</t>
        </is>
      </c>
      <c r="AS17" s="4" t="inlineStr">
        <is>
          <t>11월 판가</t>
        </is>
      </c>
      <c r="AT17" s="4" t="inlineStr">
        <is>
          <t>11월 수량</t>
        </is>
      </c>
      <c r="AU17" s="4" t="inlineStr">
        <is>
          <t>11월 금액</t>
        </is>
      </c>
      <c r="AV17" s="4" t="inlineStr">
        <is>
          <t>12월 판가</t>
        </is>
      </c>
      <c r="AW17" s="4" t="inlineStr">
        <is>
          <t>12월 수량</t>
        </is>
      </c>
      <c r="AX17" s="4" t="inlineStr">
        <is>
          <t>12월 금액</t>
        </is>
      </c>
      <c r="AY17" s="4" t="inlineStr">
        <is>
          <t>연평균판가</t>
        </is>
      </c>
      <c r="AZ17" s="4" t="inlineStr">
        <is>
          <t>연간수량합계</t>
        </is>
      </c>
      <c r="BA17" s="4" t="inlineStr">
        <is>
          <t>연간금액합계</t>
        </is>
      </c>
      <c r="BB17" s="4" t="inlineStr">
        <is>
          <t>판가차이</t>
        </is>
      </c>
      <c r="BC17" s="4" t="inlineStr">
        <is>
          <t>차이율</t>
        </is>
      </c>
      <c r="BD17" s="4" t="inlineStr">
        <is>
          <t>비고</t>
        </is>
      </c>
      <c r="BF17" s="4" t="inlineStr">
        <is>
          <t>본부보고용(제품군 매핑)</t>
        </is>
      </c>
    </row>
    <row r="18">
      <c r="A18" t="inlineStr">
        <is>
          <t>산전 영업부문</t>
        </is>
      </c>
      <c r="B18" t="inlineStr">
        <is>
          <t>산전 모티브</t>
        </is>
      </c>
      <c r="C18" t="inlineStr">
        <is>
          <t>모티브파트</t>
        </is>
      </c>
      <c r="D18" t="n">
        <v>9004810</v>
      </c>
      <c r="E18" t="inlineStr">
        <is>
          <t>참좋은상사F</t>
        </is>
      </c>
      <c r="F18" t="n">
        <v>9004810</v>
      </c>
      <c r="G18" t="inlineStr">
        <is>
          <t>참좋은상사F</t>
        </is>
      </c>
      <c r="H18" t="inlineStr">
        <is>
          <t>이서연</t>
        </is>
      </c>
      <c r="I18" t="inlineStr">
        <is>
          <t>광주</t>
        </is>
      </c>
      <c r="J18" t="inlineStr">
        <is>
          <t>V-Type(Set)/OEM</t>
        </is>
      </c>
      <c r="L18" t="n">
        <v>199009.81</v>
      </c>
      <c r="M18" t="n">
        <v>4454</v>
      </c>
      <c r="N18">
        <f>L18*M18</f>
        <v/>
      </c>
      <c r="O18" t="n">
        <v>197496.39</v>
      </c>
      <c r="P18" t="n">
        <v>3263</v>
      </c>
      <c r="Q18">
        <f>O18*P18</f>
        <v/>
      </c>
      <c r="R18" t="n">
        <v>199743.73</v>
      </c>
      <c r="S18" t="n">
        <v>4782</v>
      </c>
      <c r="T18">
        <f>R18*S18</f>
        <v/>
      </c>
      <c r="U18" t="n">
        <v>198949.83</v>
      </c>
      <c r="V18" t="n">
        <v>4299</v>
      </c>
      <c r="W18">
        <f>U18*V18</f>
        <v/>
      </c>
      <c r="X18" t="n">
        <v>181163.08</v>
      </c>
      <c r="Y18" t="n">
        <v>3831</v>
      </c>
      <c r="Z18">
        <f>X18*Y18</f>
        <v/>
      </c>
      <c r="AA18" t="n">
        <v>184323.41</v>
      </c>
      <c r="AB18" t="n">
        <v>3888</v>
      </c>
      <c r="AC18">
        <f>AA18*AB18</f>
        <v/>
      </c>
      <c r="AD18" t="n">
        <v>214168.25</v>
      </c>
      <c r="AE18" t="n">
        <v>4413</v>
      </c>
      <c r="AF18">
        <f>AD18*AE18</f>
        <v/>
      </c>
      <c r="AG18" t="n">
        <v>180257.89</v>
      </c>
      <c r="AH18" t="n">
        <v>4801</v>
      </c>
      <c r="AI18">
        <f>AG18*AH18</f>
        <v/>
      </c>
      <c r="AJ18" t="n">
        <v>210923.08</v>
      </c>
      <c r="AK18" t="n">
        <v>5015</v>
      </c>
      <c r="AL18">
        <f>AJ18*AK18</f>
        <v/>
      </c>
      <c r="AM18" t="n">
        <v>191477.29</v>
      </c>
      <c r="AN18" t="n">
        <v>3154</v>
      </c>
      <c r="AO18">
        <f>AM18*AN18</f>
        <v/>
      </c>
      <c r="AP18" t="n">
        <v>195347.66</v>
      </c>
      <c r="AQ18" t="n">
        <v>3718</v>
      </c>
      <c r="AR18">
        <f>AP18*AQ18</f>
        <v/>
      </c>
      <c r="AS18" t="n">
        <v>212598.43</v>
      </c>
      <c r="AT18" t="n">
        <v>3421</v>
      </c>
      <c r="AU18">
        <f>AS18*AT18</f>
        <v/>
      </c>
      <c r="AV18" t="n">
        <v>216803.7</v>
      </c>
      <c r="AW18" t="n">
        <v>4849</v>
      </c>
      <c r="AX18">
        <f>AV18*AW18</f>
        <v/>
      </c>
      <c r="AY18">
        <f>IFERROR(BA18/AZ18,0)</f>
        <v/>
      </c>
      <c r="AZ18">
        <f>SUM(P18,S18,V18,Y18,AB18,AE18,AH18,AK18,AN18,AQ18,AT18,AW18)</f>
        <v/>
      </c>
      <c r="BA18">
        <f>SUM(Q18,T18,W18,Z18,AC18,AF18,AI18,AL18,AO18,AR18,AU18,AX18)</f>
        <v/>
      </c>
      <c r="BB18">
        <f>AY18-L18</f>
        <v/>
      </c>
      <c r="BC18">
        <f>IFERROR(BB18/L18,0)</f>
        <v/>
      </c>
      <c r="BF18">
        <f>VLOOKUP("모티브"&amp;J18,인자!A:D,4,0)</f>
        <v/>
      </c>
    </row>
    <row r="19">
      <c r="A19" t="inlineStr">
        <is>
          <t>산전 영업부문</t>
        </is>
      </c>
      <c r="B19" t="inlineStr">
        <is>
          <t>산전 모티브</t>
        </is>
      </c>
      <c r="C19" t="inlineStr">
        <is>
          <t>산전사업소</t>
        </is>
      </c>
      <c r="D19" t="n">
        <v>9064943</v>
      </c>
      <c r="E19" t="inlineStr">
        <is>
          <t>그린텍배터리C</t>
        </is>
      </c>
      <c r="F19" t="n">
        <v>9064943</v>
      </c>
      <c r="G19" t="inlineStr">
        <is>
          <t>그린텍배터리C</t>
        </is>
      </c>
      <c r="H19" t="inlineStr">
        <is>
          <t>윤재원</t>
        </is>
      </c>
      <c r="I19" t="inlineStr">
        <is>
          <t>광주</t>
        </is>
      </c>
      <c r="J19" t="inlineStr">
        <is>
          <t>V-Type(Set)/OEM</t>
        </is>
      </c>
      <c r="L19" t="n">
        <v>127569.65</v>
      </c>
      <c r="M19" t="n">
        <v>3962</v>
      </c>
      <c r="N19">
        <f>L19*M19</f>
        <v/>
      </c>
      <c r="O19" t="n">
        <v>139822.58</v>
      </c>
      <c r="P19" t="n">
        <v>3353</v>
      </c>
      <c r="Q19">
        <f>O19*P19</f>
        <v/>
      </c>
      <c r="R19" t="n">
        <v>128877.62</v>
      </c>
      <c r="S19" t="n">
        <v>3685</v>
      </c>
      <c r="T19">
        <f>R19*S19</f>
        <v/>
      </c>
      <c r="U19" t="n">
        <v>138333.16</v>
      </c>
      <c r="V19" t="n">
        <v>3982</v>
      </c>
      <c r="W19">
        <f>U19*V19</f>
        <v/>
      </c>
      <c r="X19" t="n">
        <v>137247.75</v>
      </c>
      <c r="Y19" t="n">
        <v>4827</v>
      </c>
      <c r="Z19">
        <f>X19*Y19</f>
        <v/>
      </c>
      <c r="AA19" t="n">
        <v>121860.84</v>
      </c>
      <c r="AB19" t="n">
        <v>4651</v>
      </c>
      <c r="AC19">
        <f>AA19*AB19</f>
        <v/>
      </c>
      <c r="AD19" t="n">
        <v>125399.5</v>
      </c>
      <c r="AE19" t="n">
        <v>4994</v>
      </c>
      <c r="AF19">
        <f>AD19*AE19</f>
        <v/>
      </c>
      <c r="AG19" t="n">
        <v>127767.07</v>
      </c>
      <c r="AH19" t="n">
        <v>4724</v>
      </c>
      <c r="AI19">
        <f>AG19*AH19</f>
        <v/>
      </c>
      <c r="AJ19" t="n">
        <v>122029.02</v>
      </c>
      <c r="AK19" t="n">
        <v>3483</v>
      </c>
      <c r="AL19">
        <f>AJ19*AK19</f>
        <v/>
      </c>
      <c r="AM19" t="n">
        <v>129787.77</v>
      </c>
      <c r="AN19" t="n">
        <v>5148</v>
      </c>
      <c r="AO19">
        <f>AM19*AN19</f>
        <v/>
      </c>
      <c r="AP19" t="n">
        <v>127305.33</v>
      </c>
      <c r="AQ19" t="n">
        <v>3127</v>
      </c>
      <c r="AR19">
        <f>AP19*AQ19</f>
        <v/>
      </c>
      <c r="AS19" t="n">
        <v>128553.99</v>
      </c>
      <c r="AT19" t="n">
        <v>3594</v>
      </c>
      <c r="AU19">
        <f>AS19*AT19</f>
        <v/>
      </c>
      <c r="AV19" t="n">
        <v>128894.27</v>
      </c>
      <c r="AW19" t="n">
        <v>4065</v>
      </c>
      <c r="AX19">
        <f>AV19*AW19</f>
        <v/>
      </c>
      <c r="AY19">
        <f>IFERROR(BA19/AZ19,0)</f>
        <v/>
      </c>
      <c r="AZ19">
        <f>SUM(P19,S19,V19,Y19,AB19,AE19,AH19,AK19,AN19,AQ19,AT19,AW19)</f>
        <v/>
      </c>
      <c r="BA19">
        <f>SUM(Q19,T19,W19,Z19,AC19,AF19,AI19,AL19,AO19,AR19,AU19,AX19)</f>
        <v/>
      </c>
      <c r="BB19">
        <f>AY19-L19</f>
        <v/>
      </c>
      <c r="BC19">
        <f>IFERROR(BB19/L19,0)</f>
        <v/>
      </c>
      <c r="BF19">
        <f>VLOOKUP("모티브"&amp;J19,인자!A:D,4,0)</f>
        <v/>
      </c>
    </row>
    <row r="20">
      <c r="A20" t="inlineStr">
        <is>
          <t>산전 영업부문</t>
        </is>
      </c>
      <c r="B20" t="inlineStr">
        <is>
          <t>산전 모티브</t>
        </is>
      </c>
      <c r="C20" t="inlineStr">
        <is>
          <t>모티브파트</t>
        </is>
      </c>
      <c r="D20" t="n">
        <v>9033083</v>
      </c>
      <c r="E20" t="inlineStr">
        <is>
          <t>대한상용H</t>
        </is>
      </c>
      <c r="F20" t="n">
        <v>9033083</v>
      </c>
      <c r="G20" t="inlineStr">
        <is>
          <t>대한상용H</t>
        </is>
      </c>
      <c r="H20" t="inlineStr">
        <is>
          <t>황준서</t>
        </is>
      </c>
      <c r="I20" t="inlineStr">
        <is>
          <t>광주</t>
        </is>
      </c>
      <c r="J20" t="inlineStr">
        <is>
          <t>Longest(EB)</t>
        </is>
      </c>
      <c r="L20" t="n">
        <v>173680.3</v>
      </c>
      <c r="M20" t="n">
        <v>1923</v>
      </c>
      <c r="N20">
        <f>L20*M20</f>
        <v/>
      </c>
      <c r="O20" t="n">
        <v>186046.79</v>
      </c>
      <c r="P20" t="n">
        <v>1820</v>
      </c>
      <c r="Q20">
        <f>O20*P20</f>
        <v/>
      </c>
      <c r="R20" t="n">
        <v>167364.46</v>
      </c>
      <c r="S20" t="n">
        <v>1892</v>
      </c>
      <c r="T20">
        <f>R20*S20</f>
        <v/>
      </c>
      <c r="U20" t="n">
        <v>188041.24</v>
      </c>
      <c r="V20" t="n">
        <v>1786</v>
      </c>
      <c r="W20">
        <f>U20*V20</f>
        <v/>
      </c>
      <c r="X20" t="n">
        <v>190645.88</v>
      </c>
      <c r="Y20" t="n">
        <v>2260</v>
      </c>
      <c r="Z20">
        <f>X20*Y20</f>
        <v/>
      </c>
      <c r="AA20" t="n">
        <v>178960.84</v>
      </c>
      <c r="AB20" t="n">
        <v>1522</v>
      </c>
      <c r="AC20">
        <f>AA20*AB20</f>
        <v/>
      </c>
      <c r="AD20" t="n">
        <v>189826.47</v>
      </c>
      <c r="AE20" t="n">
        <v>1492</v>
      </c>
      <c r="AF20">
        <f>AD20*AE20</f>
        <v/>
      </c>
      <c r="AG20" t="n">
        <v>189844.85</v>
      </c>
      <c r="AH20" t="n">
        <v>1729</v>
      </c>
      <c r="AI20">
        <f>AG20*AH20</f>
        <v/>
      </c>
      <c r="AJ20" t="n">
        <v>159798.54</v>
      </c>
      <c r="AK20" t="n">
        <v>2321</v>
      </c>
      <c r="AL20">
        <f>AJ20*AK20</f>
        <v/>
      </c>
      <c r="AM20" t="n">
        <v>159775.86</v>
      </c>
      <c r="AN20" t="n">
        <v>2397</v>
      </c>
      <c r="AO20">
        <f>AM20*AN20</f>
        <v/>
      </c>
      <c r="AP20" t="n">
        <v>156845.39</v>
      </c>
      <c r="AQ20" t="n">
        <v>1512</v>
      </c>
      <c r="AR20">
        <f>AP20*AQ20</f>
        <v/>
      </c>
      <c r="AS20" t="n">
        <v>186565.05</v>
      </c>
      <c r="AT20" t="n">
        <v>2465</v>
      </c>
      <c r="AU20">
        <f>AS20*AT20</f>
        <v/>
      </c>
      <c r="AV20" t="n">
        <v>158911.51</v>
      </c>
      <c r="AW20" t="n">
        <v>2248</v>
      </c>
      <c r="AX20">
        <f>AV20*AW20</f>
        <v/>
      </c>
      <c r="AY20">
        <f>IFERROR(BA20/AZ20,0)</f>
        <v/>
      </c>
      <c r="AZ20">
        <f>SUM(P20,S20,V20,Y20,AB20,AE20,AH20,AK20,AN20,AQ20,AT20,AW20)</f>
        <v/>
      </c>
      <c r="BA20">
        <f>SUM(Q20,T20,W20,Z20,AC20,AF20,AI20,AL20,AO20,AR20,AU20,AX20)</f>
        <v/>
      </c>
      <c r="BB20">
        <f>AY20-L20</f>
        <v/>
      </c>
      <c r="BC20">
        <f>IFERROR(BB20/L20,0)</f>
        <v/>
      </c>
      <c r="BF20">
        <f>VLOOKUP("모티브"&amp;J20,인자!A:D,4,0)</f>
        <v/>
      </c>
    </row>
    <row r="21">
      <c r="A21" t="inlineStr">
        <is>
          <t>산전 영업부문</t>
        </is>
      </c>
      <c r="B21" t="inlineStr">
        <is>
          <t>산전 모티브</t>
        </is>
      </c>
      <c r="C21" t="inlineStr">
        <is>
          <t>산전사업소</t>
        </is>
      </c>
      <c r="D21" t="n">
        <v>9099681</v>
      </c>
      <c r="E21" t="inlineStr">
        <is>
          <t>미래모터스E</t>
        </is>
      </c>
      <c r="F21" t="n">
        <v>9099681</v>
      </c>
      <c r="G21" t="inlineStr">
        <is>
          <t>미래모터스E</t>
        </is>
      </c>
      <c r="H21" t="inlineStr">
        <is>
          <t>강시우</t>
        </is>
      </c>
      <c r="I21" t="inlineStr">
        <is>
          <t>광주</t>
        </is>
      </c>
      <c r="J21" t="inlineStr">
        <is>
          <t>V-Type(Set)/보수</t>
        </is>
      </c>
      <c r="L21" t="n">
        <v>256440.69</v>
      </c>
      <c r="M21" t="n">
        <v>4381</v>
      </c>
      <c r="N21">
        <f>L21*M21</f>
        <v/>
      </c>
      <c r="O21" t="n">
        <v>250286.6</v>
      </c>
      <c r="P21" t="n">
        <v>3899</v>
      </c>
      <c r="Q21">
        <f>O21*P21</f>
        <v/>
      </c>
      <c r="R21" t="n">
        <v>267658.3</v>
      </c>
      <c r="S21" t="n">
        <v>5063</v>
      </c>
      <c r="T21">
        <f>R21*S21</f>
        <v/>
      </c>
      <c r="U21" t="n">
        <v>275539.52</v>
      </c>
      <c r="V21" t="n">
        <v>3161</v>
      </c>
      <c r="W21">
        <f>U21*V21</f>
        <v/>
      </c>
      <c r="X21" t="n">
        <v>234305.79</v>
      </c>
      <c r="Y21" t="n">
        <v>4726</v>
      </c>
      <c r="Z21">
        <f>X21*Y21</f>
        <v/>
      </c>
      <c r="AA21" t="n">
        <v>278029.36</v>
      </c>
      <c r="AB21" t="n">
        <v>5689</v>
      </c>
      <c r="AC21">
        <f>AA21*AB21</f>
        <v/>
      </c>
      <c r="AD21" t="n">
        <v>269096.88</v>
      </c>
      <c r="AE21" t="n">
        <v>4207</v>
      </c>
      <c r="AF21">
        <f>AD21*AE21</f>
        <v/>
      </c>
      <c r="AG21" t="n">
        <v>235845.59</v>
      </c>
      <c r="AH21" t="n">
        <v>4733</v>
      </c>
      <c r="AI21">
        <f>AG21*AH21</f>
        <v/>
      </c>
      <c r="AJ21" t="n">
        <v>275549.59</v>
      </c>
      <c r="AK21" t="n">
        <v>4233</v>
      </c>
      <c r="AL21">
        <f>AJ21*AK21</f>
        <v/>
      </c>
      <c r="AM21" t="n">
        <v>266390.65</v>
      </c>
      <c r="AN21" t="n">
        <v>5441</v>
      </c>
      <c r="AO21">
        <f>AM21*AN21</f>
        <v/>
      </c>
      <c r="AP21" t="n">
        <v>233155.41</v>
      </c>
      <c r="AQ21" t="n">
        <v>5159</v>
      </c>
      <c r="AR21">
        <f>AP21*AQ21</f>
        <v/>
      </c>
      <c r="AS21" t="n">
        <v>245842.91</v>
      </c>
      <c r="AT21" t="n">
        <v>4052</v>
      </c>
      <c r="AU21">
        <f>AS21*AT21</f>
        <v/>
      </c>
      <c r="AV21" t="n">
        <v>238262.62</v>
      </c>
      <c r="AW21" t="n">
        <v>4463</v>
      </c>
      <c r="AX21">
        <f>AV21*AW21</f>
        <v/>
      </c>
      <c r="AY21">
        <f>IFERROR(BA21/AZ21,0)</f>
        <v/>
      </c>
      <c r="AZ21">
        <f>SUM(P21,S21,V21,Y21,AB21,AE21,AH21,AK21,AN21,AQ21,AT21,AW21)</f>
        <v/>
      </c>
      <c r="BA21">
        <f>SUM(Q21,T21,W21,Z21,AC21,AF21,AI21,AL21,AO21,AR21,AU21,AX21)</f>
        <v/>
      </c>
      <c r="BB21">
        <f>AY21-L21</f>
        <v/>
      </c>
      <c r="BC21">
        <f>IFERROR(BB21/L21,0)</f>
        <v/>
      </c>
      <c r="BF21">
        <f>VLOOKUP("모티브"&amp;J21,인자!A:D,4,0)</f>
        <v/>
      </c>
    </row>
    <row r="22">
      <c r="A22" t="inlineStr">
        <is>
          <t>산전 영업부문</t>
        </is>
      </c>
      <c r="B22" t="inlineStr">
        <is>
          <t>산전 모티브</t>
        </is>
      </c>
      <c r="C22" t="inlineStr">
        <is>
          <t>산전사업소</t>
        </is>
      </c>
      <c r="D22" t="n">
        <v>9064943</v>
      </c>
      <c r="E22" t="inlineStr">
        <is>
          <t>그린텍배터리C</t>
        </is>
      </c>
      <c r="F22" t="n">
        <v>9064943</v>
      </c>
      <c r="G22" t="inlineStr">
        <is>
          <t>그린텍배터리C</t>
        </is>
      </c>
      <c r="H22" t="inlineStr">
        <is>
          <t>박도윤</t>
        </is>
      </c>
      <c r="I22" t="inlineStr">
        <is>
          <t>창원</t>
        </is>
      </c>
      <c r="J22" t="inlineStr">
        <is>
          <t>V-Type(Set)/보수</t>
        </is>
      </c>
      <c r="L22" t="n">
        <v>187814.56</v>
      </c>
      <c r="M22" t="n">
        <v>1982</v>
      </c>
      <c r="N22">
        <f>L22*M22</f>
        <v/>
      </c>
      <c r="O22" t="n">
        <v>187726.94</v>
      </c>
      <c r="P22" t="n">
        <v>2081</v>
      </c>
      <c r="Q22">
        <f>O22*P22</f>
        <v/>
      </c>
      <c r="R22" t="n">
        <v>177754.78</v>
      </c>
      <c r="S22" t="n">
        <v>2146</v>
      </c>
      <c r="T22">
        <f>R22*S22</f>
        <v/>
      </c>
      <c r="U22" t="n">
        <v>186295.91</v>
      </c>
      <c r="V22" t="n">
        <v>2180</v>
      </c>
      <c r="W22">
        <f>U22*V22</f>
        <v/>
      </c>
      <c r="X22" t="n">
        <v>202798.73</v>
      </c>
      <c r="Y22" t="n">
        <v>1941</v>
      </c>
      <c r="Z22">
        <f>X22*Y22</f>
        <v/>
      </c>
      <c r="AA22" t="n">
        <v>179837.39</v>
      </c>
      <c r="AB22" t="n">
        <v>2037</v>
      </c>
      <c r="AC22">
        <f>AA22*AB22</f>
        <v/>
      </c>
      <c r="AD22" t="n">
        <v>171807.57</v>
      </c>
      <c r="AE22" t="n">
        <v>2511</v>
      </c>
      <c r="AF22">
        <f>AD22*AE22</f>
        <v/>
      </c>
      <c r="AG22" t="n">
        <v>206132.18</v>
      </c>
      <c r="AH22" t="n">
        <v>1743</v>
      </c>
      <c r="AI22">
        <f>AG22*AH22</f>
        <v/>
      </c>
      <c r="AJ22" t="n">
        <v>205169.72</v>
      </c>
      <c r="AK22" t="n">
        <v>2208</v>
      </c>
      <c r="AL22">
        <f>AJ22*AK22</f>
        <v/>
      </c>
      <c r="AM22" t="n">
        <v>186193.19</v>
      </c>
      <c r="AN22" t="n">
        <v>1747</v>
      </c>
      <c r="AO22">
        <f>AM22*AN22</f>
        <v/>
      </c>
      <c r="AP22" t="n">
        <v>206572.49</v>
      </c>
      <c r="AQ22" t="n">
        <v>2402</v>
      </c>
      <c r="AR22">
        <f>AP22*AQ22</f>
        <v/>
      </c>
      <c r="AS22" t="n">
        <v>173039.31</v>
      </c>
      <c r="AT22" t="n">
        <v>1841</v>
      </c>
      <c r="AU22">
        <f>AS22*AT22</f>
        <v/>
      </c>
      <c r="AV22" t="n">
        <v>182516.66</v>
      </c>
      <c r="AW22" t="n">
        <v>1739</v>
      </c>
      <c r="AX22">
        <f>AV22*AW22</f>
        <v/>
      </c>
      <c r="AY22">
        <f>IFERROR(BA22/AZ22,0)</f>
        <v/>
      </c>
      <c r="AZ22">
        <f>SUM(P22,S22,V22,Y22,AB22,AE22,AH22,AK22,AN22,AQ22,AT22,AW22)</f>
        <v/>
      </c>
      <c r="BA22">
        <f>SUM(Q22,T22,W22,Z22,AC22,AF22,AI22,AL22,AO22,AR22,AU22,AX22)</f>
        <v/>
      </c>
      <c r="BB22">
        <f>AY22-L22</f>
        <v/>
      </c>
      <c r="BC22">
        <f>IFERROR(BB22/L22,0)</f>
        <v/>
      </c>
      <c r="BF22">
        <f>VLOOKUP("모티브"&amp;J22,인자!A:D,4,0)</f>
        <v/>
      </c>
    </row>
    <row r="23">
      <c r="A23" t="inlineStr">
        <is>
          <t>산전 영업부문</t>
        </is>
      </c>
      <c r="B23" t="inlineStr">
        <is>
          <t>산전 모티브</t>
        </is>
      </c>
      <c r="C23" t="inlineStr">
        <is>
          <t>모티브파트</t>
        </is>
      </c>
      <c r="D23" t="n">
        <v>9099681</v>
      </c>
      <c r="E23" t="inlineStr">
        <is>
          <t>미래모터스E</t>
        </is>
      </c>
      <c r="F23" t="n">
        <v>9099681</v>
      </c>
      <c r="G23" t="inlineStr">
        <is>
          <t>미래모터스E</t>
        </is>
      </c>
      <c r="H23" t="inlineStr">
        <is>
          <t>김민준</t>
        </is>
      </c>
      <c r="I23" t="inlineStr">
        <is>
          <t>광주</t>
        </is>
      </c>
      <c r="J23" t="inlineStr">
        <is>
          <t>Longest(GC6)</t>
        </is>
      </c>
      <c r="L23" t="n">
        <v>171949.06</v>
      </c>
      <c r="M23" t="n">
        <v>411</v>
      </c>
      <c r="N23">
        <f>L23*M23</f>
        <v/>
      </c>
      <c r="O23" t="n">
        <v>186070.1</v>
      </c>
      <c r="P23" t="n">
        <v>471</v>
      </c>
      <c r="Q23">
        <f>O23*P23</f>
        <v/>
      </c>
      <c r="R23" t="n">
        <v>183395.33</v>
      </c>
      <c r="S23" t="n">
        <v>510</v>
      </c>
      <c r="T23">
        <f>R23*S23</f>
        <v/>
      </c>
      <c r="U23" t="n">
        <v>181431.74</v>
      </c>
      <c r="V23" t="n">
        <v>344</v>
      </c>
      <c r="W23">
        <f>U23*V23</f>
        <v/>
      </c>
      <c r="X23" t="n">
        <v>182332.44</v>
      </c>
      <c r="Y23" t="n">
        <v>342</v>
      </c>
      <c r="Z23">
        <f>X23*Y23</f>
        <v/>
      </c>
      <c r="AA23" t="n">
        <v>161292.76</v>
      </c>
      <c r="AB23" t="n">
        <v>350</v>
      </c>
      <c r="AC23">
        <f>AA23*AB23</f>
        <v/>
      </c>
      <c r="AD23" t="n">
        <v>180738.32</v>
      </c>
      <c r="AE23" t="n">
        <v>477</v>
      </c>
      <c r="AF23">
        <f>AD23*AE23</f>
        <v/>
      </c>
      <c r="AG23" t="n">
        <v>178168.63</v>
      </c>
      <c r="AH23" t="n">
        <v>321</v>
      </c>
      <c r="AI23">
        <f>AG23*AH23</f>
        <v/>
      </c>
      <c r="AJ23" t="n">
        <v>158095.6</v>
      </c>
      <c r="AK23" t="n">
        <v>442</v>
      </c>
      <c r="AL23">
        <f>AJ23*AK23</f>
        <v/>
      </c>
      <c r="AM23" t="n">
        <v>156109.89</v>
      </c>
      <c r="AN23" t="n">
        <v>482</v>
      </c>
      <c r="AO23">
        <f>AM23*AN23</f>
        <v/>
      </c>
      <c r="AP23" t="n">
        <v>155901.55</v>
      </c>
      <c r="AQ23" t="n">
        <v>378</v>
      </c>
      <c r="AR23">
        <f>AP23*AQ23</f>
        <v/>
      </c>
      <c r="AS23" t="n">
        <v>159273.38</v>
      </c>
      <c r="AT23" t="n">
        <v>512</v>
      </c>
      <c r="AU23">
        <f>AS23*AT23</f>
        <v/>
      </c>
      <c r="AV23" t="n">
        <v>165989.96</v>
      </c>
      <c r="AW23" t="n">
        <v>390</v>
      </c>
      <c r="AX23">
        <f>AV23*AW23</f>
        <v/>
      </c>
      <c r="AY23">
        <f>IFERROR(BA23/AZ23,0)</f>
        <v/>
      </c>
      <c r="AZ23">
        <f>SUM(P23,S23,V23,Y23,AB23,AE23,AH23,AK23,AN23,AQ23,AT23,AW23)</f>
        <v/>
      </c>
      <c r="BA23">
        <f>SUM(Q23,T23,W23,Z23,AC23,AF23,AI23,AL23,AO23,AR23,AU23,AX23)</f>
        <v/>
      </c>
      <c r="BB23">
        <f>AY23-L23</f>
        <v/>
      </c>
      <c r="BC23">
        <f>IFERROR(BB23/L23,0)</f>
        <v/>
      </c>
      <c r="BF23">
        <f>VLOOKUP("모티브"&amp;J23,인자!A:D,4,0)</f>
        <v/>
      </c>
    </row>
    <row r="24">
      <c r="A24" t="inlineStr">
        <is>
          <t>산전 영업부문</t>
        </is>
      </c>
      <c r="B24" t="inlineStr">
        <is>
          <t>산전 모티브</t>
        </is>
      </c>
      <c r="C24" t="inlineStr">
        <is>
          <t>산전사업소</t>
        </is>
      </c>
      <c r="D24" t="n">
        <v>9086847</v>
      </c>
      <c r="E24" t="inlineStr">
        <is>
          <t>스타에너지D</t>
        </is>
      </c>
      <c r="F24" t="n">
        <v>9086847</v>
      </c>
      <c r="G24" t="inlineStr">
        <is>
          <t>스타에너지D</t>
        </is>
      </c>
      <c r="H24" t="inlineStr">
        <is>
          <t>박도윤</t>
        </is>
      </c>
      <c r="I24" t="inlineStr">
        <is>
          <t>광주</t>
        </is>
      </c>
      <c r="J24" t="inlineStr">
        <is>
          <t>V-Type(Set)/OEM</t>
        </is>
      </c>
      <c r="L24" t="n">
        <v>249989.42</v>
      </c>
      <c r="M24" t="n">
        <v>2115</v>
      </c>
      <c r="N24">
        <f>L24*M24</f>
        <v/>
      </c>
      <c r="O24" t="n">
        <v>270690.99</v>
      </c>
      <c r="P24" t="n">
        <v>2679</v>
      </c>
      <c r="Q24">
        <f>O24*P24</f>
        <v/>
      </c>
      <c r="R24" t="n">
        <v>273357.63</v>
      </c>
      <c r="S24" t="n">
        <v>1855</v>
      </c>
      <c r="T24">
        <f>R24*S24</f>
        <v/>
      </c>
      <c r="U24" t="n">
        <v>268508.48</v>
      </c>
      <c r="V24" t="n">
        <v>2501</v>
      </c>
      <c r="W24">
        <f>U24*V24</f>
        <v/>
      </c>
      <c r="X24" t="n">
        <v>248406.06</v>
      </c>
      <c r="Y24" t="n">
        <v>1576</v>
      </c>
      <c r="Z24">
        <f>X24*Y24</f>
        <v/>
      </c>
      <c r="AA24" t="n">
        <v>262696.46</v>
      </c>
      <c r="AB24" t="n">
        <v>1767</v>
      </c>
      <c r="AC24">
        <f>AA24*AB24</f>
        <v/>
      </c>
      <c r="AD24" t="n">
        <v>258805.23</v>
      </c>
      <c r="AE24" t="n">
        <v>2336</v>
      </c>
      <c r="AF24">
        <f>AD24*AE24</f>
        <v/>
      </c>
      <c r="AG24" t="n">
        <v>244860.21</v>
      </c>
      <c r="AH24" t="n">
        <v>2554</v>
      </c>
      <c r="AI24">
        <f>AG24*AH24</f>
        <v/>
      </c>
      <c r="AJ24" t="n">
        <v>252854.93</v>
      </c>
      <c r="AK24" t="n">
        <v>1595</v>
      </c>
      <c r="AL24">
        <f>AJ24*AK24</f>
        <v/>
      </c>
      <c r="AM24" t="n">
        <v>244718.37</v>
      </c>
      <c r="AN24" t="n">
        <v>1816</v>
      </c>
      <c r="AO24">
        <f>AM24*AN24</f>
        <v/>
      </c>
      <c r="AP24" t="n">
        <v>231169.65</v>
      </c>
      <c r="AQ24" t="n">
        <v>1948</v>
      </c>
      <c r="AR24">
        <f>AP24*AQ24</f>
        <v/>
      </c>
      <c r="AS24" t="n">
        <v>262439.47</v>
      </c>
      <c r="AT24" t="n">
        <v>1813</v>
      </c>
      <c r="AU24">
        <f>AS24*AT24</f>
        <v/>
      </c>
      <c r="AV24" t="n">
        <v>244040.95</v>
      </c>
      <c r="AW24" t="n">
        <v>2291</v>
      </c>
      <c r="AX24">
        <f>AV24*AW24</f>
        <v/>
      </c>
      <c r="AY24">
        <f>IFERROR(BA24/AZ24,0)</f>
        <v/>
      </c>
      <c r="AZ24">
        <f>SUM(P24,S24,V24,Y24,AB24,AE24,AH24,AK24,AN24,AQ24,AT24,AW24)</f>
        <v/>
      </c>
      <c r="BA24">
        <f>SUM(Q24,T24,W24,Z24,AC24,AF24,AI24,AL24,AO24,AR24,AU24,AX24)</f>
        <v/>
      </c>
      <c r="BB24">
        <f>AY24-L24</f>
        <v/>
      </c>
      <c r="BC24">
        <f>IFERROR(BB24/L24,0)</f>
        <v/>
      </c>
      <c r="BF24">
        <f>VLOOKUP("모티브"&amp;J24,인자!A:D,4,0)</f>
        <v/>
      </c>
    </row>
    <row r="25">
      <c r="A25" t="inlineStr">
        <is>
          <t>산전 영업부문</t>
        </is>
      </c>
      <c r="B25" t="inlineStr">
        <is>
          <t>산전 모티브</t>
        </is>
      </c>
      <c r="C25" t="inlineStr">
        <is>
          <t>모티브파트</t>
        </is>
      </c>
      <c r="D25" t="n">
        <v>9004810</v>
      </c>
      <c r="E25" t="inlineStr">
        <is>
          <t>참좋은상사F</t>
        </is>
      </c>
      <c r="F25" t="n">
        <v>9004810</v>
      </c>
      <c r="G25" t="inlineStr">
        <is>
          <t>참좋은상사F</t>
        </is>
      </c>
      <c r="H25" t="inlineStr">
        <is>
          <t>이서연</t>
        </is>
      </c>
      <c r="I25" t="inlineStr">
        <is>
          <t>창원</t>
        </is>
      </c>
      <c r="J25" t="inlineStr">
        <is>
          <t>차량용 대형 EXP</t>
        </is>
      </c>
      <c r="L25" t="n">
        <v>187766.33</v>
      </c>
      <c r="M25" t="n">
        <v>4609</v>
      </c>
      <c r="N25">
        <f>L25*M25</f>
        <v/>
      </c>
      <c r="O25" t="n">
        <v>181307.4</v>
      </c>
      <c r="P25" t="n">
        <v>4913</v>
      </c>
      <c r="Q25">
        <f>O25*P25</f>
        <v/>
      </c>
      <c r="R25" t="n">
        <v>193311.16</v>
      </c>
      <c r="S25" t="n">
        <v>4983</v>
      </c>
      <c r="T25">
        <f>R25*S25</f>
        <v/>
      </c>
      <c r="U25" t="n">
        <v>186424.46</v>
      </c>
      <c r="V25" t="n">
        <v>5165</v>
      </c>
      <c r="W25">
        <f>U25*V25</f>
        <v/>
      </c>
      <c r="X25" t="n">
        <v>193370.76</v>
      </c>
      <c r="Y25" t="n">
        <v>3549</v>
      </c>
      <c r="Z25">
        <f>X25*Y25</f>
        <v/>
      </c>
      <c r="AA25" t="n">
        <v>170692.62</v>
      </c>
      <c r="AB25" t="n">
        <v>3329</v>
      </c>
      <c r="AC25">
        <f>AA25*AB25</f>
        <v/>
      </c>
      <c r="AD25" t="n">
        <v>206390.02</v>
      </c>
      <c r="AE25" t="n">
        <v>3547</v>
      </c>
      <c r="AF25">
        <f>AD25*AE25</f>
        <v/>
      </c>
      <c r="AG25" t="n">
        <v>177807.21</v>
      </c>
      <c r="AH25" t="n">
        <v>4713</v>
      </c>
      <c r="AI25">
        <f>AG25*AH25</f>
        <v/>
      </c>
      <c r="AJ25" t="n">
        <v>183584.62</v>
      </c>
      <c r="AK25" t="n">
        <v>4252</v>
      </c>
      <c r="AL25">
        <f>AJ25*AK25</f>
        <v/>
      </c>
      <c r="AM25" t="n">
        <v>204642.05</v>
      </c>
      <c r="AN25" t="n">
        <v>5152</v>
      </c>
      <c r="AO25">
        <f>AM25*AN25</f>
        <v/>
      </c>
      <c r="AP25" t="n">
        <v>189275.69</v>
      </c>
      <c r="AQ25" t="n">
        <v>4851</v>
      </c>
      <c r="AR25">
        <f>AP25*AQ25</f>
        <v/>
      </c>
      <c r="AS25" t="n">
        <v>196275.87</v>
      </c>
      <c r="AT25" t="n">
        <v>5675</v>
      </c>
      <c r="AU25">
        <f>AS25*AT25</f>
        <v/>
      </c>
      <c r="AV25" t="n">
        <v>193584.15</v>
      </c>
      <c r="AW25" t="n">
        <v>5532</v>
      </c>
      <c r="AX25">
        <f>AV25*AW25</f>
        <v/>
      </c>
      <c r="AY25">
        <f>IFERROR(BA25/AZ25,0)</f>
        <v/>
      </c>
      <c r="AZ25">
        <f>SUM(P25,S25,V25,Y25,AB25,AE25,AH25,AK25,AN25,AQ25,AT25,AW25)</f>
        <v/>
      </c>
      <c r="BA25">
        <f>SUM(Q25,T25,W25,Z25,AC25,AF25,AI25,AL25,AO25,AR25,AU25,AX25)</f>
        <v/>
      </c>
      <c r="BB25">
        <f>AY25-L25</f>
        <v/>
      </c>
      <c r="BC25">
        <f>IFERROR(BB25/L25,0)</f>
        <v/>
      </c>
      <c r="BF25">
        <f>VLOOKUP("모티브"&amp;J25,인자!A:D,4,0)</f>
        <v/>
      </c>
    </row>
    <row r="26">
      <c r="A26" t="inlineStr">
        <is>
          <t>산전 영업부문</t>
        </is>
      </c>
      <c r="B26" t="inlineStr">
        <is>
          <t>산전 모티브</t>
        </is>
      </c>
      <c r="C26" t="inlineStr">
        <is>
          <t>모티브파트</t>
        </is>
      </c>
      <c r="D26" t="n">
        <v>9011543</v>
      </c>
      <c r="E26" t="inlineStr">
        <is>
          <t>우리전지G</t>
        </is>
      </c>
      <c r="F26" t="n">
        <v>9011543</v>
      </c>
      <c r="G26" t="inlineStr">
        <is>
          <t>우리전지G</t>
        </is>
      </c>
      <c r="H26" t="inlineStr">
        <is>
          <t>정하은</t>
        </is>
      </c>
      <c r="I26" t="inlineStr">
        <is>
          <t>창원</t>
        </is>
      </c>
      <c r="J26" t="inlineStr">
        <is>
          <t>Longest(GC8)</t>
        </is>
      </c>
      <c r="L26" t="n">
        <v>135798.01</v>
      </c>
      <c r="M26" t="n">
        <v>1944</v>
      </c>
      <c r="N26">
        <f>L26*M26</f>
        <v/>
      </c>
      <c r="O26" t="n">
        <v>145451.9</v>
      </c>
      <c r="P26" t="n">
        <v>1477</v>
      </c>
      <c r="Q26">
        <f>O26*P26</f>
        <v/>
      </c>
      <c r="R26" t="n">
        <v>140841.01</v>
      </c>
      <c r="S26" t="n">
        <v>1996</v>
      </c>
      <c r="T26">
        <f>R26*S26</f>
        <v/>
      </c>
      <c r="U26" t="n">
        <v>148776.02</v>
      </c>
      <c r="V26" t="n">
        <v>1779</v>
      </c>
      <c r="W26">
        <f>U26*V26</f>
        <v/>
      </c>
      <c r="X26" t="n">
        <v>133031.52</v>
      </c>
      <c r="Y26" t="n">
        <v>1582</v>
      </c>
      <c r="Z26">
        <f>X26*Y26</f>
        <v/>
      </c>
      <c r="AA26" t="n">
        <v>125536.02</v>
      </c>
      <c r="AB26" t="n">
        <v>2350</v>
      </c>
      <c r="AC26">
        <f>AA26*AB26</f>
        <v/>
      </c>
      <c r="AD26" t="n">
        <v>134568.15</v>
      </c>
      <c r="AE26" t="n">
        <v>2134</v>
      </c>
      <c r="AF26">
        <f>AD26*AE26</f>
        <v/>
      </c>
      <c r="AG26" t="n">
        <v>139646.65</v>
      </c>
      <c r="AH26" t="n">
        <v>2057</v>
      </c>
      <c r="AI26">
        <f>AG26*AH26</f>
        <v/>
      </c>
      <c r="AJ26" t="n">
        <v>122798.27</v>
      </c>
      <c r="AK26" t="n">
        <v>2279</v>
      </c>
      <c r="AL26">
        <f>AJ26*AK26</f>
        <v/>
      </c>
      <c r="AM26" t="n">
        <v>128833.44</v>
      </c>
      <c r="AN26" t="n">
        <v>1508</v>
      </c>
      <c r="AO26">
        <f>AM26*AN26</f>
        <v/>
      </c>
      <c r="AP26" t="n">
        <v>137551.92</v>
      </c>
      <c r="AQ26" t="n">
        <v>1441</v>
      </c>
      <c r="AR26">
        <f>AP26*AQ26</f>
        <v/>
      </c>
      <c r="AS26" t="n">
        <v>142999.58</v>
      </c>
      <c r="AT26" t="n">
        <v>1602</v>
      </c>
      <c r="AU26">
        <f>AS26*AT26</f>
        <v/>
      </c>
      <c r="AV26" t="n">
        <v>128083.36</v>
      </c>
      <c r="AW26" t="n">
        <v>2375</v>
      </c>
      <c r="AX26">
        <f>AV26*AW26</f>
        <v/>
      </c>
      <c r="AY26">
        <f>IFERROR(BA26/AZ26,0)</f>
        <v/>
      </c>
      <c r="AZ26">
        <f>SUM(P26,S26,V26,Y26,AB26,AE26,AH26,AK26,AN26,AQ26,AT26,AW26)</f>
        <v/>
      </c>
      <c r="BA26">
        <f>SUM(Q26,T26,W26,Z26,AC26,AF26,AI26,AL26,AO26,AR26,AU26,AX26)</f>
        <v/>
      </c>
      <c r="BB26">
        <f>AY26-L26</f>
        <v/>
      </c>
      <c r="BC26">
        <f>IFERROR(BB26/L26,0)</f>
        <v/>
      </c>
      <c r="BF26">
        <f>VLOOKUP("모티브"&amp;J26,인자!A:D,4,0)</f>
        <v/>
      </c>
    </row>
    <row r="27">
      <c r="A27" t="inlineStr">
        <is>
          <t>산전 영업부문</t>
        </is>
      </c>
      <c r="B27" t="inlineStr">
        <is>
          <t>산전 모티브</t>
        </is>
      </c>
      <c r="C27" t="inlineStr">
        <is>
          <t>산전사업소</t>
        </is>
      </c>
      <c r="D27" t="n">
        <v>9004810</v>
      </c>
      <c r="E27" t="inlineStr">
        <is>
          <t>참좋은상사F</t>
        </is>
      </c>
      <c r="F27" t="n">
        <v>9004810</v>
      </c>
      <c r="G27" t="inlineStr">
        <is>
          <t>참좋은상사F</t>
        </is>
      </c>
      <c r="H27" t="inlineStr">
        <is>
          <t>신태양</t>
        </is>
      </c>
      <c r="I27" t="inlineStr">
        <is>
          <t>창원</t>
        </is>
      </c>
      <c r="J27" t="inlineStr">
        <is>
          <t>V-Type(Cell)</t>
        </is>
      </c>
      <c r="L27" t="n">
        <v>258229.81</v>
      </c>
      <c r="M27" t="n">
        <v>1195</v>
      </c>
      <c r="N27">
        <f>L27*M27</f>
        <v/>
      </c>
      <c r="O27" t="n">
        <v>283408.63</v>
      </c>
      <c r="P27" t="n">
        <v>1224</v>
      </c>
      <c r="Q27">
        <f>O27*P27</f>
        <v/>
      </c>
      <c r="R27" t="n">
        <v>273646.84</v>
      </c>
      <c r="S27" t="n">
        <v>915</v>
      </c>
      <c r="T27">
        <f>R27*S27</f>
        <v/>
      </c>
      <c r="U27" t="n">
        <v>277155.36</v>
      </c>
      <c r="V27" t="n">
        <v>931</v>
      </c>
      <c r="W27">
        <f>U27*V27</f>
        <v/>
      </c>
      <c r="X27" t="n">
        <v>250908.6</v>
      </c>
      <c r="Y27" t="n">
        <v>1402</v>
      </c>
      <c r="Z27">
        <f>X27*Y27</f>
        <v/>
      </c>
      <c r="AA27" t="n">
        <v>262818.7</v>
      </c>
      <c r="AB27" t="n">
        <v>848</v>
      </c>
      <c r="AC27">
        <f>AA27*AB27</f>
        <v/>
      </c>
      <c r="AD27" t="n">
        <v>246111.99</v>
      </c>
      <c r="AE27" t="n">
        <v>927</v>
      </c>
      <c r="AF27">
        <f>AD27*AE27</f>
        <v/>
      </c>
      <c r="AG27" t="n">
        <v>254147.74</v>
      </c>
      <c r="AH27" t="n">
        <v>918</v>
      </c>
      <c r="AI27">
        <f>AG27*AH27</f>
        <v/>
      </c>
      <c r="AJ27" t="n">
        <v>235689.35</v>
      </c>
      <c r="AK27" t="n">
        <v>1158</v>
      </c>
      <c r="AL27">
        <f>AJ27*AK27</f>
        <v/>
      </c>
      <c r="AM27" t="n">
        <v>251104.68</v>
      </c>
      <c r="AN27" t="n">
        <v>1262</v>
      </c>
      <c r="AO27">
        <f>AM27*AN27</f>
        <v/>
      </c>
      <c r="AP27" t="n">
        <v>255751.08</v>
      </c>
      <c r="AQ27" t="n">
        <v>995</v>
      </c>
      <c r="AR27">
        <f>AP27*AQ27</f>
        <v/>
      </c>
      <c r="AS27" t="n">
        <v>264174.61</v>
      </c>
      <c r="AT27" t="n">
        <v>1358</v>
      </c>
      <c r="AU27">
        <f>AS27*AT27</f>
        <v/>
      </c>
      <c r="AV27" t="n">
        <v>279340.18</v>
      </c>
      <c r="AW27" t="n">
        <v>1309</v>
      </c>
      <c r="AX27">
        <f>AV27*AW27</f>
        <v/>
      </c>
      <c r="AY27">
        <f>IFERROR(BA27/AZ27,0)</f>
        <v/>
      </c>
      <c r="AZ27">
        <f>SUM(P27,S27,V27,Y27,AB27,AE27,AH27,AK27,AN27,AQ27,AT27,AW27)</f>
        <v/>
      </c>
      <c r="BA27">
        <f>SUM(Q27,T27,W27,Z27,AC27,AF27,AI27,AL27,AO27,AR27,AU27,AX27)</f>
        <v/>
      </c>
      <c r="BB27">
        <f>AY27-L27</f>
        <v/>
      </c>
      <c r="BC27">
        <f>IFERROR(BB27/L27,0)</f>
        <v/>
      </c>
      <c r="BF27">
        <f>VLOOKUP("모티브"&amp;J27,인자!A:D,4,0)</f>
        <v/>
      </c>
    </row>
    <row r="28">
      <c r="A28" t="inlineStr">
        <is>
          <t>산전 영업부문</t>
        </is>
      </c>
      <c r="B28" t="inlineStr">
        <is>
          <t>산전 모티브</t>
        </is>
      </c>
      <c r="C28" t="inlineStr">
        <is>
          <t>산전사업소</t>
        </is>
      </c>
      <c r="D28" t="n">
        <v>9099681</v>
      </c>
      <c r="E28" t="inlineStr">
        <is>
          <t>미래모터스E</t>
        </is>
      </c>
      <c r="F28" t="n">
        <v>9099681</v>
      </c>
      <c r="G28" t="inlineStr">
        <is>
          <t>미래모터스E</t>
        </is>
      </c>
      <c r="H28" t="inlineStr">
        <is>
          <t>윤재원</t>
        </is>
      </c>
      <c r="I28" t="inlineStr">
        <is>
          <t>창원</t>
        </is>
      </c>
      <c r="J28" t="inlineStr">
        <is>
          <t>V-Type(Cell)</t>
        </is>
      </c>
      <c r="L28" t="n">
        <v>254953.07</v>
      </c>
      <c r="M28" t="n">
        <v>3502</v>
      </c>
      <c r="N28">
        <f>L28*M28</f>
        <v/>
      </c>
      <c r="O28" t="n">
        <v>264442.3</v>
      </c>
      <c r="P28" t="n">
        <v>3482</v>
      </c>
      <c r="Q28">
        <f>O28*P28</f>
        <v/>
      </c>
      <c r="R28" t="n">
        <v>275843.97</v>
      </c>
      <c r="S28" t="n">
        <v>2606</v>
      </c>
      <c r="T28">
        <f>R28*S28</f>
        <v/>
      </c>
      <c r="U28" t="n">
        <v>233577.32</v>
      </c>
      <c r="V28" t="n">
        <v>3730</v>
      </c>
      <c r="W28">
        <f>U28*V28</f>
        <v/>
      </c>
      <c r="X28" t="n">
        <v>232806.94</v>
      </c>
      <c r="Y28" t="n">
        <v>3029</v>
      </c>
      <c r="Z28">
        <f>X28*Y28</f>
        <v/>
      </c>
      <c r="AA28" t="n">
        <v>261738.73</v>
      </c>
      <c r="AB28" t="n">
        <v>3604</v>
      </c>
      <c r="AC28">
        <f>AA28*AB28</f>
        <v/>
      </c>
      <c r="AD28" t="n">
        <v>246039.17</v>
      </c>
      <c r="AE28" t="n">
        <v>4541</v>
      </c>
      <c r="AF28">
        <f>AD28*AE28</f>
        <v/>
      </c>
      <c r="AG28" t="n">
        <v>256511.18</v>
      </c>
      <c r="AH28" t="n">
        <v>3405</v>
      </c>
      <c r="AI28">
        <f>AG28*AH28</f>
        <v/>
      </c>
      <c r="AJ28" t="n">
        <v>260328.85</v>
      </c>
      <c r="AK28" t="n">
        <v>2660</v>
      </c>
      <c r="AL28">
        <f>AJ28*AK28</f>
        <v/>
      </c>
      <c r="AM28" t="n">
        <v>265241.93</v>
      </c>
      <c r="AN28" t="n">
        <v>4243</v>
      </c>
      <c r="AO28">
        <f>AM28*AN28</f>
        <v/>
      </c>
      <c r="AP28" t="n">
        <v>262648.4</v>
      </c>
      <c r="AQ28" t="n">
        <v>4067</v>
      </c>
      <c r="AR28">
        <f>AP28*AQ28</f>
        <v/>
      </c>
      <c r="AS28" t="n">
        <v>266213.83</v>
      </c>
      <c r="AT28" t="n">
        <v>2903</v>
      </c>
      <c r="AU28">
        <f>AS28*AT28</f>
        <v/>
      </c>
      <c r="AV28" t="n">
        <v>252482.83</v>
      </c>
      <c r="AW28" t="n">
        <v>2932</v>
      </c>
      <c r="AX28">
        <f>AV28*AW28</f>
        <v/>
      </c>
      <c r="AY28">
        <f>IFERROR(BA28/AZ28,0)</f>
        <v/>
      </c>
      <c r="AZ28">
        <f>SUM(P28,S28,V28,Y28,AB28,AE28,AH28,AK28,AN28,AQ28,AT28,AW28)</f>
        <v/>
      </c>
      <c r="BA28">
        <f>SUM(Q28,T28,W28,Z28,AC28,AF28,AI28,AL28,AO28,AR28,AU28,AX28)</f>
        <v/>
      </c>
      <c r="BB28">
        <f>AY28-L28</f>
        <v/>
      </c>
      <c r="BC28">
        <f>IFERROR(BB28/L28,0)</f>
        <v/>
      </c>
      <c r="BF28">
        <f>VLOOKUP("모티브"&amp;J28,인자!A:D,4,0)</f>
        <v/>
      </c>
    </row>
    <row r="29">
      <c r="A29" t="inlineStr">
        <is>
          <t>산전 영업부문</t>
        </is>
      </c>
      <c r="B29" t="inlineStr">
        <is>
          <t>산전 모티브</t>
        </is>
      </c>
      <c r="C29" t="inlineStr">
        <is>
          <t>산전사업소</t>
        </is>
      </c>
      <c r="D29" t="n">
        <v>9004810</v>
      </c>
      <c r="E29" t="inlineStr">
        <is>
          <t>참좋은상사F</t>
        </is>
      </c>
      <c r="F29" t="n">
        <v>9004810</v>
      </c>
      <c r="G29" t="inlineStr">
        <is>
          <t>참좋은상사F</t>
        </is>
      </c>
      <c r="H29" t="inlineStr">
        <is>
          <t>권나윤</t>
        </is>
      </c>
      <c r="I29" t="inlineStr">
        <is>
          <t>광주</t>
        </is>
      </c>
      <c r="J29" t="inlineStr">
        <is>
          <t>차량용 소형 EXP</t>
        </is>
      </c>
      <c r="L29" t="n">
        <v>220235.69</v>
      </c>
      <c r="M29" t="n">
        <v>2570</v>
      </c>
      <c r="N29">
        <f>L29*M29</f>
        <v/>
      </c>
      <c r="O29" t="n">
        <v>217009.85</v>
      </c>
      <c r="P29" t="n">
        <v>2825</v>
      </c>
      <c r="Q29">
        <f>O29*P29</f>
        <v/>
      </c>
      <c r="R29" t="n">
        <v>214699.01</v>
      </c>
      <c r="S29" t="n">
        <v>2034</v>
      </c>
      <c r="T29">
        <f>R29*S29</f>
        <v/>
      </c>
      <c r="U29" t="n">
        <v>238866.97</v>
      </c>
      <c r="V29" t="n">
        <v>1903</v>
      </c>
      <c r="W29">
        <f>U29*V29</f>
        <v/>
      </c>
      <c r="X29" t="n">
        <v>234849.29</v>
      </c>
      <c r="Y29" t="n">
        <v>1943</v>
      </c>
      <c r="Z29">
        <f>X29*Y29</f>
        <v/>
      </c>
      <c r="AA29" t="n">
        <v>202465.51</v>
      </c>
      <c r="AB29" t="n">
        <v>2938</v>
      </c>
      <c r="AC29">
        <f>AA29*AB29</f>
        <v/>
      </c>
      <c r="AD29" t="n">
        <v>233968.23</v>
      </c>
      <c r="AE29" t="n">
        <v>2657</v>
      </c>
      <c r="AF29">
        <f>AD29*AE29</f>
        <v/>
      </c>
      <c r="AG29" t="n">
        <v>224044.23</v>
      </c>
      <c r="AH29" t="n">
        <v>2665</v>
      </c>
      <c r="AI29">
        <f>AG29*AH29</f>
        <v/>
      </c>
      <c r="AJ29" t="n">
        <v>212732.08</v>
      </c>
      <c r="AK29" t="n">
        <v>1987</v>
      </c>
      <c r="AL29">
        <f>AJ29*AK29</f>
        <v/>
      </c>
      <c r="AM29" t="n">
        <v>213787.1</v>
      </c>
      <c r="AN29" t="n">
        <v>2825</v>
      </c>
      <c r="AO29">
        <f>AM29*AN29</f>
        <v/>
      </c>
      <c r="AP29" t="n">
        <v>231259.99</v>
      </c>
      <c r="AQ29" t="n">
        <v>3138</v>
      </c>
      <c r="AR29">
        <f>AP29*AQ29</f>
        <v/>
      </c>
      <c r="AS29" t="n">
        <v>229972.78</v>
      </c>
      <c r="AT29" t="n">
        <v>3292</v>
      </c>
      <c r="AU29">
        <f>AS29*AT29</f>
        <v/>
      </c>
      <c r="AV29" t="n">
        <v>224658.47</v>
      </c>
      <c r="AW29" t="n">
        <v>2341</v>
      </c>
      <c r="AX29">
        <f>AV29*AW29</f>
        <v/>
      </c>
      <c r="AY29">
        <f>IFERROR(BA29/AZ29,0)</f>
        <v/>
      </c>
      <c r="AZ29">
        <f>SUM(P29,S29,V29,Y29,AB29,AE29,AH29,AK29,AN29,AQ29,AT29,AW29)</f>
        <v/>
      </c>
      <c r="BA29">
        <f>SUM(Q29,T29,W29,Z29,AC29,AF29,AI29,AL29,AO29,AR29,AU29,AX29)</f>
        <v/>
      </c>
      <c r="BB29">
        <f>AY29-L29</f>
        <v/>
      </c>
      <c r="BC29">
        <f>IFERROR(BB29/L29,0)</f>
        <v/>
      </c>
      <c r="BF29">
        <f>VLOOKUP("모티브"&amp;J29,인자!A:D,4,0)</f>
        <v/>
      </c>
    </row>
    <row r="30">
      <c r="A30" t="inlineStr">
        <is>
          <t>산전 영업부문</t>
        </is>
      </c>
      <c r="B30" t="inlineStr">
        <is>
          <t>산전 모티브</t>
        </is>
      </c>
      <c r="C30" t="inlineStr">
        <is>
          <t>모티브파트</t>
        </is>
      </c>
      <c r="D30" t="n">
        <v>9086847</v>
      </c>
      <c r="E30" t="inlineStr">
        <is>
          <t>스타에너지D</t>
        </is>
      </c>
      <c r="F30" t="n">
        <v>9086847</v>
      </c>
      <c r="G30" t="inlineStr">
        <is>
          <t>스타에너지D</t>
        </is>
      </c>
      <c r="H30" t="inlineStr">
        <is>
          <t>박도윤</t>
        </is>
      </c>
      <c r="I30" t="inlineStr">
        <is>
          <t>광주</t>
        </is>
      </c>
      <c r="J30" t="inlineStr">
        <is>
          <t>Longest(EB)</t>
        </is>
      </c>
      <c r="L30" t="n">
        <v>108283.63</v>
      </c>
      <c r="M30" t="n">
        <v>4566</v>
      </c>
      <c r="N30">
        <f>L30*M30</f>
        <v/>
      </c>
      <c r="O30" t="n">
        <v>105415.44</v>
      </c>
      <c r="P30" t="n">
        <v>5285</v>
      </c>
      <c r="Q30">
        <f>O30*P30</f>
        <v/>
      </c>
      <c r="R30" t="n">
        <v>109888.39</v>
      </c>
      <c r="S30" t="n">
        <v>5408</v>
      </c>
      <c r="T30">
        <f>R30*S30</f>
        <v/>
      </c>
      <c r="U30" t="n">
        <v>115758.56</v>
      </c>
      <c r="V30" t="n">
        <v>5866</v>
      </c>
      <c r="W30">
        <f>U30*V30</f>
        <v/>
      </c>
      <c r="X30" t="n">
        <v>115179.71</v>
      </c>
      <c r="Y30" t="n">
        <v>4877</v>
      </c>
      <c r="Z30">
        <f>X30*Y30</f>
        <v/>
      </c>
      <c r="AA30" t="n">
        <v>111374.03</v>
      </c>
      <c r="AB30" t="n">
        <v>3268</v>
      </c>
      <c r="AC30">
        <f>AA30*AB30</f>
        <v/>
      </c>
      <c r="AD30" t="n">
        <v>117576.19</v>
      </c>
      <c r="AE30" t="n">
        <v>5469</v>
      </c>
      <c r="AF30">
        <f>AD30*AE30</f>
        <v/>
      </c>
      <c r="AG30" t="n">
        <v>103247.31</v>
      </c>
      <c r="AH30" t="n">
        <v>3690</v>
      </c>
      <c r="AI30">
        <f>AG30*AH30</f>
        <v/>
      </c>
      <c r="AJ30" t="n">
        <v>112673.42</v>
      </c>
      <c r="AK30" t="n">
        <v>4043</v>
      </c>
      <c r="AL30">
        <f>AJ30*AK30</f>
        <v/>
      </c>
      <c r="AM30" t="n">
        <v>104814.76</v>
      </c>
      <c r="AN30" t="n">
        <v>3213</v>
      </c>
      <c r="AO30">
        <f>AM30*AN30</f>
        <v/>
      </c>
      <c r="AP30" t="n">
        <v>116293.65</v>
      </c>
      <c r="AQ30" t="n">
        <v>4748</v>
      </c>
      <c r="AR30">
        <f>AP30*AQ30</f>
        <v/>
      </c>
      <c r="AS30" t="n">
        <v>106134.94</v>
      </c>
      <c r="AT30" t="n">
        <v>3585</v>
      </c>
      <c r="AU30">
        <f>AS30*AT30</f>
        <v/>
      </c>
      <c r="AV30" t="n">
        <v>111167.7</v>
      </c>
      <c r="AW30" t="n">
        <v>3280</v>
      </c>
      <c r="AX30">
        <f>AV30*AW30</f>
        <v/>
      </c>
      <c r="AY30">
        <f>IFERROR(BA30/AZ30,0)</f>
        <v/>
      </c>
      <c r="AZ30">
        <f>SUM(P30,S30,V30,Y30,AB30,AE30,AH30,AK30,AN30,AQ30,AT30,AW30)</f>
        <v/>
      </c>
      <c r="BA30">
        <f>SUM(Q30,T30,W30,Z30,AC30,AF30,AI30,AL30,AO30,AR30,AU30,AX30)</f>
        <v/>
      </c>
      <c r="BB30">
        <f>AY30-L30</f>
        <v/>
      </c>
      <c r="BC30">
        <f>IFERROR(BB30/L30,0)</f>
        <v/>
      </c>
      <c r="BF30">
        <f>VLOOKUP("모티브"&amp;J30,인자!A:D,4,0)</f>
        <v/>
      </c>
    </row>
    <row r="31">
      <c r="A31" t="inlineStr">
        <is>
          <t>산전 영업부문</t>
        </is>
      </c>
      <c r="B31" t="inlineStr">
        <is>
          <t>산전 모티브</t>
        </is>
      </c>
      <c r="C31" t="inlineStr">
        <is>
          <t>산전사업소</t>
        </is>
      </c>
      <c r="D31" t="n">
        <v>9086847</v>
      </c>
      <c r="E31" t="inlineStr">
        <is>
          <t>스타에너지D</t>
        </is>
      </c>
      <c r="F31" t="n">
        <v>9086847</v>
      </c>
      <c r="G31" t="inlineStr">
        <is>
          <t>스타에너지D</t>
        </is>
      </c>
      <c r="H31" t="inlineStr">
        <is>
          <t>조유나</t>
        </is>
      </c>
      <c r="I31" t="inlineStr">
        <is>
          <t>광주</t>
        </is>
      </c>
      <c r="J31" t="inlineStr">
        <is>
          <t>차량용 대형 EXP</t>
        </is>
      </c>
      <c r="L31" t="n">
        <v>51435.74</v>
      </c>
      <c r="M31" t="n">
        <v>2562</v>
      </c>
      <c r="N31">
        <f>L31*M31</f>
        <v/>
      </c>
      <c r="O31" t="n">
        <v>53715.33</v>
      </c>
      <c r="P31" t="n">
        <v>2988</v>
      </c>
      <c r="Q31">
        <f>O31*P31</f>
        <v/>
      </c>
      <c r="R31" t="n">
        <v>52131.08</v>
      </c>
      <c r="S31" t="n">
        <v>1924</v>
      </c>
      <c r="T31">
        <f>R31*S31</f>
        <v/>
      </c>
      <c r="U31" t="n">
        <v>46833.36</v>
      </c>
      <c r="V31" t="n">
        <v>2035</v>
      </c>
      <c r="W31">
        <f>U31*V31</f>
        <v/>
      </c>
      <c r="X31" t="n">
        <v>52647.96</v>
      </c>
      <c r="Y31" t="n">
        <v>2829</v>
      </c>
      <c r="Z31">
        <f>X31*Y31</f>
        <v/>
      </c>
      <c r="AA31" t="n">
        <v>49091.33</v>
      </c>
      <c r="AB31" t="n">
        <v>2811</v>
      </c>
      <c r="AC31">
        <f>AA31*AB31</f>
        <v/>
      </c>
      <c r="AD31" t="n">
        <v>51288.24</v>
      </c>
      <c r="AE31" t="n">
        <v>2473</v>
      </c>
      <c r="AF31">
        <f>AD31*AE31</f>
        <v/>
      </c>
      <c r="AG31" t="n">
        <v>49102.27</v>
      </c>
      <c r="AH31" t="n">
        <v>2954</v>
      </c>
      <c r="AI31">
        <f>AG31*AH31</f>
        <v/>
      </c>
      <c r="AJ31" t="n">
        <v>47463.02</v>
      </c>
      <c r="AK31" t="n">
        <v>2454</v>
      </c>
      <c r="AL31">
        <f>AJ31*AK31</f>
        <v/>
      </c>
      <c r="AM31" t="n">
        <v>49205.96</v>
      </c>
      <c r="AN31" t="n">
        <v>2836</v>
      </c>
      <c r="AO31">
        <f>AM31*AN31</f>
        <v/>
      </c>
      <c r="AP31" t="n">
        <v>51298.23</v>
      </c>
      <c r="AQ31" t="n">
        <v>2819</v>
      </c>
      <c r="AR31">
        <f>AP31*AQ31</f>
        <v/>
      </c>
      <c r="AS31" t="n">
        <v>46759.38</v>
      </c>
      <c r="AT31" t="n">
        <v>2401</v>
      </c>
      <c r="AU31">
        <f>AS31*AT31</f>
        <v/>
      </c>
      <c r="AV31" t="n">
        <v>52457.51</v>
      </c>
      <c r="AW31" t="n">
        <v>1805</v>
      </c>
      <c r="AX31">
        <f>AV31*AW31</f>
        <v/>
      </c>
      <c r="AY31">
        <f>IFERROR(BA31/AZ31,0)</f>
        <v/>
      </c>
      <c r="AZ31">
        <f>SUM(P31,S31,V31,Y31,AB31,AE31,AH31,AK31,AN31,AQ31,AT31,AW31)</f>
        <v/>
      </c>
      <c r="BA31">
        <f>SUM(Q31,T31,W31,Z31,AC31,AF31,AI31,AL31,AO31,AR31,AU31,AX31)</f>
        <v/>
      </c>
      <c r="BB31">
        <f>AY31-L31</f>
        <v/>
      </c>
      <c r="BC31">
        <f>IFERROR(BB31/L31,0)</f>
        <v/>
      </c>
      <c r="BF31">
        <f>VLOOKUP("모티브"&amp;J31,인자!A:D,4,0)</f>
        <v/>
      </c>
    </row>
    <row r="32">
      <c r="A32" t="inlineStr">
        <is>
          <t>산전 영업부문</t>
        </is>
      </c>
      <c r="B32" t="inlineStr">
        <is>
          <t>산전 모티브</t>
        </is>
      </c>
      <c r="C32" t="inlineStr">
        <is>
          <t>산전사업소</t>
        </is>
      </c>
      <c r="D32" t="n">
        <v>9099681</v>
      </c>
      <c r="E32" t="inlineStr">
        <is>
          <t>미래모터스E</t>
        </is>
      </c>
      <c r="F32" t="n">
        <v>9099681</v>
      </c>
      <c r="G32" t="inlineStr">
        <is>
          <t>미래모터스E</t>
        </is>
      </c>
      <c r="H32" t="inlineStr">
        <is>
          <t>최지우</t>
        </is>
      </c>
      <c r="I32" t="inlineStr">
        <is>
          <t>창원</t>
        </is>
      </c>
      <c r="J32" t="inlineStr">
        <is>
          <t>Longest(GC6)</t>
        </is>
      </c>
      <c r="L32" t="n">
        <v>101796.1</v>
      </c>
      <c r="M32" t="n">
        <v>73</v>
      </c>
      <c r="N32">
        <f>L32*M32</f>
        <v/>
      </c>
      <c r="O32" t="n">
        <v>101742.87</v>
      </c>
      <c r="P32" t="n">
        <v>70</v>
      </c>
      <c r="Q32">
        <f>O32*P32</f>
        <v/>
      </c>
      <c r="R32" t="n">
        <v>94246.61</v>
      </c>
      <c r="S32" t="n">
        <v>74</v>
      </c>
      <c r="T32">
        <f>R32*S32</f>
        <v/>
      </c>
      <c r="U32" t="n">
        <v>96301.36</v>
      </c>
      <c r="V32" t="n">
        <v>76</v>
      </c>
      <c r="W32">
        <f>U32*V32</f>
        <v/>
      </c>
      <c r="X32" t="n">
        <v>105217.43</v>
      </c>
      <c r="Y32" t="n">
        <v>67</v>
      </c>
      <c r="Z32">
        <f>X32*Y32</f>
        <v/>
      </c>
      <c r="AA32" t="n">
        <v>99700.55</v>
      </c>
      <c r="AB32" t="n">
        <v>84</v>
      </c>
      <c r="AC32">
        <f>AA32*AB32</f>
        <v/>
      </c>
      <c r="AD32" t="n">
        <v>100497.58</v>
      </c>
      <c r="AE32" t="n">
        <v>71</v>
      </c>
      <c r="AF32">
        <f>AD32*AE32</f>
        <v/>
      </c>
      <c r="AG32" t="n">
        <v>93201.71000000001</v>
      </c>
      <c r="AH32" t="n">
        <v>65</v>
      </c>
      <c r="AI32">
        <f>AG32*AH32</f>
        <v/>
      </c>
      <c r="AJ32" t="n">
        <v>100356.38</v>
      </c>
      <c r="AK32" t="n">
        <v>69</v>
      </c>
      <c r="AL32">
        <f>AJ32*AK32</f>
        <v/>
      </c>
      <c r="AM32" t="n">
        <v>104649.28</v>
      </c>
      <c r="AN32" t="n">
        <v>64</v>
      </c>
      <c r="AO32">
        <f>AM32*AN32</f>
        <v/>
      </c>
      <c r="AP32" t="n">
        <v>99862.63</v>
      </c>
      <c r="AQ32" t="n">
        <v>93</v>
      </c>
      <c r="AR32">
        <f>AP32*AQ32</f>
        <v/>
      </c>
      <c r="AS32" t="n">
        <v>95115.69</v>
      </c>
      <c r="AT32" t="n">
        <v>93</v>
      </c>
      <c r="AU32">
        <f>AS32*AT32</f>
        <v/>
      </c>
      <c r="AV32" t="n">
        <v>100983.7</v>
      </c>
      <c r="AW32" t="n">
        <v>81</v>
      </c>
      <c r="AX32">
        <f>AV32*AW32</f>
        <v/>
      </c>
      <c r="AY32">
        <f>IFERROR(BA32/AZ32,0)</f>
        <v/>
      </c>
      <c r="AZ32">
        <f>SUM(P32,S32,V32,Y32,AB32,AE32,AH32,AK32,AN32,AQ32,AT32,AW32)</f>
        <v/>
      </c>
      <c r="BA32">
        <f>SUM(Q32,T32,W32,Z32,AC32,AF32,AI32,AL32,AO32,AR32,AU32,AX32)</f>
        <v/>
      </c>
      <c r="BB32">
        <f>AY32-L32</f>
        <v/>
      </c>
      <c r="BC32">
        <f>IFERROR(BB32/L32,0)</f>
        <v/>
      </c>
      <c r="BF32">
        <f>VLOOKUP("모티브"&amp;J32,인자!A:D,4,0)</f>
        <v/>
      </c>
    </row>
    <row r="33">
      <c r="A33" t="inlineStr">
        <is>
          <t>산전 영업부문</t>
        </is>
      </c>
      <c r="B33" t="inlineStr">
        <is>
          <t>산전 모티브</t>
        </is>
      </c>
      <c r="C33" t="inlineStr">
        <is>
          <t>모티브파트</t>
        </is>
      </c>
      <c r="D33" t="n">
        <v>9004810</v>
      </c>
      <c r="E33" t="inlineStr">
        <is>
          <t>참좋은상사F</t>
        </is>
      </c>
      <c r="F33" t="n">
        <v>9004810</v>
      </c>
      <c r="G33" t="inlineStr">
        <is>
          <t>참좋은상사F</t>
        </is>
      </c>
      <c r="H33" t="inlineStr">
        <is>
          <t>이서연</t>
        </is>
      </c>
      <c r="I33" t="inlineStr">
        <is>
          <t>광주</t>
        </is>
      </c>
      <c r="J33" t="inlineStr">
        <is>
          <t>V-Type(Set)/보수</t>
        </is>
      </c>
      <c r="L33" t="n">
        <v>133524.58</v>
      </c>
      <c r="M33" t="n">
        <v>3290</v>
      </c>
      <c r="N33">
        <f>L33*M33</f>
        <v/>
      </c>
      <c r="O33" t="n">
        <v>134164.5</v>
      </c>
      <c r="P33" t="n">
        <v>3084</v>
      </c>
      <c r="Q33">
        <f>O33*P33</f>
        <v/>
      </c>
      <c r="R33" t="n">
        <v>128457.98</v>
      </c>
      <c r="S33" t="n">
        <v>2973</v>
      </c>
      <c r="T33">
        <f>R33*S33</f>
        <v/>
      </c>
      <c r="U33" t="n">
        <v>129066.69</v>
      </c>
      <c r="V33" t="n">
        <v>2635</v>
      </c>
      <c r="W33">
        <f>U33*V33</f>
        <v/>
      </c>
      <c r="X33" t="n">
        <v>133804.54</v>
      </c>
      <c r="Y33" t="n">
        <v>2528</v>
      </c>
      <c r="Z33">
        <f>X33*Y33</f>
        <v/>
      </c>
      <c r="AA33" t="n">
        <v>133790.35</v>
      </c>
      <c r="AB33" t="n">
        <v>4091</v>
      </c>
      <c r="AC33">
        <f>AA33*AB33</f>
        <v/>
      </c>
      <c r="AD33" t="n">
        <v>129502.16</v>
      </c>
      <c r="AE33" t="n">
        <v>3739</v>
      </c>
      <c r="AF33">
        <f>AD33*AE33</f>
        <v/>
      </c>
      <c r="AG33" t="n">
        <v>142042.08</v>
      </c>
      <c r="AH33" t="n">
        <v>3912</v>
      </c>
      <c r="AI33">
        <f>AG33*AH33</f>
        <v/>
      </c>
      <c r="AJ33" t="n">
        <v>126481.66</v>
      </c>
      <c r="AK33" t="n">
        <v>2592</v>
      </c>
      <c r="AL33">
        <f>AJ33*AK33</f>
        <v/>
      </c>
      <c r="AM33" t="n">
        <v>125440.25</v>
      </c>
      <c r="AN33" t="n">
        <v>3492</v>
      </c>
      <c r="AO33">
        <f>AM33*AN33</f>
        <v/>
      </c>
      <c r="AP33" t="n">
        <v>140473.61</v>
      </c>
      <c r="AQ33" t="n">
        <v>3597</v>
      </c>
      <c r="AR33">
        <f>AP33*AQ33</f>
        <v/>
      </c>
      <c r="AS33" t="n">
        <v>124902.79</v>
      </c>
      <c r="AT33" t="n">
        <v>3829</v>
      </c>
      <c r="AU33">
        <f>AS33*AT33</f>
        <v/>
      </c>
      <c r="AV33" t="n">
        <v>133367.48</v>
      </c>
      <c r="AW33" t="n">
        <v>3792</v>
      </c>
      <c r="AX33">
        <f>AV33*AW33</f>
        <v/>
      </c>
      <c r="AY33">
        <f>IFERROR(BA33/AZ33,0)</f>
        <v/>
      </c>
      <c r="AZ33">
        <f>SUM(P33,S33,V33,Y33,AB33,AE33,AH33,AK33,AN33,AQ33,AT33,AW33)</f>
        <v/>
      </c>
      <c r="BA33">
        <f>SUM(Q33,T33,W33,Z33,AC33,AF33,AI33,AL33,AO33,AR33,AU33,AX33)</f>
        <v/>
      </c>
      <c r="BB33">
        <f>AY33-L33</f>
        <v/>
      </c>
      <c r="BC33">
        <f>IFERROR(BB33/L33,0)</f>
        <v/>
      </c>
      <c r="BF33">
        <f>VLOOKUP("모티브"&amp;J33,인자!A:D,4,0)</f>
        <v/>
      </c>
    </row>
    <row r="34">
      <c r="A34" t="inlineStr">
        <is>
          <t>산전 영업부문</t>
        </is>
      </c>
      <c r="B34" t="inlineStr">
        <is>
          <t>산전 모티브</t>
        </is>
      </c>
      <c r="C34" t="inlineStr">
        <is>
          <t>모티브파트</t>
        </is>
      </c>
      <c r="D34" t="n">
        <v>9033083</v>
      </c>
      <c r="E34" t="inlineStr">
        <is>
          <t>대한상용H</t>
        </is>
      </c>
      <c r="F34" t="n">
        <v>9033083</v>
      </c>
      <c r="G34" t="inlineStr">
        <is>
          <t>대한상용H</t>
        </is>
      </c>
      <c r="H34" t="inlineStr">
        <is>
          <t>한지호</t>
        </is>
      </c>
      <c r="I34" t="inlineStr">
        <is>
          <t>광주</t>
        </is>
      </c>
      <c r="J34" t="inlineStr">
        <is>
          <t>Longest(GC8)</t>
        </is>
      </c>
      <c r="L34" t="n">
        <v>134730.03</v>
      </c>
      <c r="M34" t="n">
        <v>3851</v>
      </c>
      <c r="N34">
        <f>L34*M34</f>
        <v/>
      </c>
      <c r="O34" t="n">
        <v>133172.77</v>
      </c>
      <c r="P34" t="n">
        <v>3395</v>
      </c>
      <c r="Q34">
        <f>O34*P34</f>
        <v/>
      </c>
      <c r="R34" t="n">
        <v>128658.39</v>
      </c>
      <c r="S34" t="n">
        <v>2825</v>
      </c>
      <c r="T34">
        <f>R34*S34</f>
        <v/>
      </c>
      <c r="U34" t="n">
        <v>134927.73</v>
      </c>
      <c r="V34" t="n">
        <v>3413</v>
      </c>
      <c r="W34">
        <f>U34*V34</f>
        <v/>
      </c>
      <c r="X34" t="n">
        <v>133434.3</v>
      </c>
      <c r="Y34" t="n">
        <v>2827</v>
      </c>
      <c r="Z34">
        <f>X34*Y34</f>
        <v/>
      </c>
      <c r="AA34" t="n">
        <v>143667.93</v>
      </c>
      <c r="AB34" t="n">
        <v>2873</v>
      </c>
      <c r="AC34">
        <f>AA34*AB34</f>
        <v/>
      </c>
      <c r="AD34" t="n">
        <v>144545.11</v>
      </c>
      <c r="AE34" t="n">
        <v>4672</v>
      </c>
      <c r="AF34">
        <f>AD34*AE34</f>
        <v/>
      </c>
      <c r="AG34" t="n">
        <v>137829.05</v>
      </c>
      <c r="AH34" t="n">
        <v>3867</v>
      </c>
      <c r="AI34">
        <f>AG34*AH34</f>
        <v/>
      </c>
      <c r="AJ34" t="n">
        <v>133725.26</v>
      </c>
      <c r="AK34" t="n">
        <v>3977</v>
      </c>
      <c r="AL34">
        <f>AJ34*AK34</f>
        <v/>
      </c>
      <c r="AM34" t="n">
        <v>142593.35</v>
      </c>
      <c r="AN34" t="n">
        <v>4766</v>
      </c>
      <c r="AO34">
        <f>AM34*AN34</f>
        <v/>
      </c>
      <c r="AP34" t="n">
        <v>133375.55</v>
      </c>
      <c r="AQ34" t="n">
        <v>4567</v>
      </c>
      <c r="AR34">
        <f>AP34*AQ34</f>
        <v/>
      </c>
      <c r="AS34" t="n">
        <v>138821.44</v>
      </c>
      <c r="AT34" t="n">
        <v>3439</v>
      </c>
      <c r="AU34">
        <f>AS34*AT34</f>
        <v/>
      </c>
      <c r="AV34" t="n">
        <v>134073.33</v>
      </c>
      <c r="AW34" t="n">
        <v>3044</v>
      </c>
      <c r="AX34">
        <f>AV34*AW34</f>
        <v/>
      </c>
      <c r="AY34">
        <f>IFERROR(BA34/AZ34,0)</f>
        <v/>
      </c>
      <c r="AZ34">
        <f>SUM(P34,S34,V34,Y34,AB34,AE34,AH34,AK34,AN34,AQ34,AT34,AW34)</f>
        <v/>
      </c>
      <c r="BA34">
        <f>SUM(Q34,T34,W34,Z34,AC34,AF34,AI34,AL34,AO34,AR34,AU34,AX34)</f>
        <v/>
      </c>
      <c r="BB34">
        <f>AY34-L34</f>
        <v/>
      </c>
      <c r="BC34">
        <f>IFERROR(BB34/L34,0)</f>
        <v/>
      </c>
      <c r="BF34">
        <f>VLOOKUP("모티브"&amp;J34,인자!A:D,4,0)</f>
        <v/>
      </c>
    </row>
    <row r="35">
      <c r="A35" t="inlineStr">
        <is>
          <t>산전 영업부문</t>
        </is>
      </c>
      <c r="B35" t="inlineStr">
        <is>
          <t>산전 모티브</t>
        </is>
      </c>
      <c r="C35" t="inlineStr">
        <is>
          <t>모티브파트</t>
        </is>
      </c>
      <c r="D35" t="n">
        <v>9021080</v>
      </c>
      <c r="E35" t="inlineStr">
        <is>
          <t>하늘종합상사A</t>
        </is>
      </c>
      <c r="F35" t="n">
        <v>9021080</v>
      </c>
      <c r="G35" t="inlineStr">
        <is>
          <t>하늘종합상사A</t>
        </is>
      </c>
      <c r="H35" t="inlineStr">
        <is>
          <t>윤재원</t>
        </is>
      </c>
      <c r="I35" t="inlineStr">
        <is>
          <t>창원</t>
        </is>
      </c>
      <c r="J35" t="inlineStr">
        <is>
          <t>Longest(GC8)</t>
        </is>
      </c>
      <c r="L35" t="n">
        <v>153841.96</v>
      </c>
      <c r="M35" t="n">
        <v>1423</v>
      </c>
      <c r="N35">
        <f>L35*M35</f>
        <v/>
      </c>
      <c r="O35" t="n">
        <v>139662.1</v>
      </c>
      <c r="P35" t="n">
        <v>1600</v>
      </c>
      <c r="Q35">
        <f>O35*P35</f>
        <v/>
      </c>
      <c r="R35" t="n">
        <v>168948.81</v>
      </c>
      <c r="S35" t="n">
        <v>1444</v>
      </c>
      <c r="T35">
        <f>R35*S35</f>
        <v/>
      </c>
      <c r="U35" t="n">
        <v>157220.5</v>
      </c>
      <c r="V35" t="n">
        <v>1307</v>
      </c>
      <c r="W35">
        <f>U35*V35</f>
        <v/>
      </c>
      <c r="X35" t="n">
        <v>166701.2</v>
      </c>
      <c r="Y35" t="n">
        <v>1327</v>
      </c>
      <c r="Z35">
        <f>X35*Y35</f>
        <v/>
      </c>
      <c r="AA35" t="n">
        <v>162286.8</v>
      </c>
      <c r="AB35" t="n">
        <v>1576</v>
      </c>
      <c r="AC35">
        <f>AA35*AB35</f>
        <v/>
      </c>
      <c r="AD35" t="n">
        <v>140068.97</v>
      </c>
      <c r="AE35" t="n">
        <v>1535</v>
      </c>
      <c r="AF35">
        <f>AD35*AE35</f>
        <v/>
      </c>
      <c r="AG35" t="n">
        <v>148754.39</v>
      </c>
      <c r="AH35" t="n">
        <v>1278</v>
      </c>
      <c r="AI35">
        <f>AG35*AH35</f>
        <v/>
      </c>
      <c r="AJ35" t="n">
        <v>155625.39</v>
      </c>
      <c r="AK35" t="n">
        <v>1326</v>
      </c>
      <c r="AL35">
        <f>AJ35*AK35</f>
        <v/>
      </c>
      <c r="AM35" t="n">
        <v>146211.27</v>
      </c>
      <c r="AN35" t="n">
        <v>1723</v>
      </c>
      <c r="AO35">
        <f>AM35*AN35</f>
        <v/>
      </c>
      <c r="AP35" t="n">
        <v>168131.11</v>
      </c>
      <c r="AQ35" t="n">
        <v>1511</v>
      </c>
      <c r="AR35">
        <f>AP35*AQ35</f>
        <v/>
      </c>
      <c r="AS35" t="n">
        <v>143084.51</v>
      </c>
      <c r="AT35" t="n">
        <v>1066</v>
      </c>
      <c r="AU35">
        <f>AS35*AT35</f>
        <v/>
      </c>
      <c r="AV35" t="n">
        <v>158876.04</v>
      </c>
      <c r="AW35" t="n">
        <v>1779</v>
      </c>
      <c r="AX35">
        <f>AV35*AW35</f>
        <v/>
      </c>
      <c r="AY35">
        <f>IFERROR(BA35/AZ35,0)</f>
        <v/>
      </c>
      <c r="AZ35">
        <f>SUM(P35,S35,V35,Y35,AB35,AE35,AH35,AK35,AN35,AQ35,AT35,AW35)</f>
        <v/>
      </c>
      <c r="BA35">
        <f>SUM(Q35,T35,W35,Z35,AC35,AF35,AI35,AL35,AO35,AR35,AU35,AX35)</f>
        <v/>
      </c>
      <c r="BB35">
        <f>AY35-L35</f>
        <v/>
      </c>
      <c r="BC35">
        <f>IFERROR(BB35/L35,0)</f>
        <v/>
      </c>
      <c r="BF35">
        <f>VLOOKUP("모티브"&amp;J35,인자!A:D,4,0)</f>
        <v/>
      </c>
    </row>
    <row r="36">
      <c r="A36" t="inlineStr">
        <is>
          <t>산전 영업부문</t>
        </is>
      </c>
      <c r="B36" t="inlineStr">
        <is>
          <t>산전 모티브</t>
        </is>
      </c>
      <c r="C36" t="inlineStr">
        <is>
          <t>모티브파트</t>
        </is>
      </c>
      <c r="D36" t="n">
        <v>9099681</v>
      </c>
      <c r="E36" t="inlineStr">
        <is>
          <t>미래모터스E</t>
        </is>
      </c>
      <c r="F36" t="n">
        <v>9099681</v>
      </c>
      <c r="G36" t="inlineStr">
        <is>
          <t>미래모터스E</t>
        </is>
      </c>
      <c r="H36" t="inlineStr">
        <is>
          <t>한지호</t>
        </is>
      </c>
      <c r="I36" t="inlineStr">
        <is>
          <t>광주</t>
        </is>
      </c>
      <c r="J36" t="inlineStr">
        <is>
          <t>차량용 중형 EXP</t>
        </is>
      </c>
      <c r="L36" t="n">
        <v>96326.66</v>
      </c>
      <c r="M36" t="n">
        <v>3095</v>
      </c>
      <c r="N36">
        <f>L36*M36</f>
        <v/>
      </c>
      <c r="O36" t="n">
        <v>99091.11</v>
      </c>
      <c r="P36" t="n">
        <v>2776</v>
      </c>
      <c r="Q36">
        <f>O36*P36</f>
        <v/>
      </c>
      <c r="R36" t="n">
        <v>89155.98</v>
      </c>
      <c r="S36" t="n">
        <v>3472</v>
      </c>
      <c r="T36">
        <f>R36*S36</f>
        <v/>
      </c>
      <c r="U36" t="n">
        <v>104940.36</v>
      </c>
      <c r="V36" t="n">
        <v>4018</v>
      </c>
      <c r="W36">
        <f>U36*V36</f>
        <v/>
      </c>
      <c r="X36" t="n">
        <v>104272.61</v>
      </c>
      <c r="Y36" t="n">
        <v>2340</v>
      </c>
      <c r="Z36">
        <f>X36*Y36</f>
        <v/>
      </c>
      <c r="AA36" t="n">
        <v>99610.55</v>
      </c>
      <c r="AB36" t="n">
        <v>3111</v>
      </c>
      <c r="AC36">
        <f>AA36*AB36</f>
        <v/>
      </c>
      <c r="AD36" t="n">
        <v>87045.21000000001</v>
      </c>
      <c r="AE36" t="n">
        <v>2740</v>
      </c>
      <c r="AF36">
        <f>AD36*AE36</f>
        <v/>
      </c>
      <c r="AG36" t="n">
        <v>105018.59</v>
      </c>
      <c r="AH36" t="n">
        <v>2801</v>
      </c>
      <c r="AI36">
        <f>AG36*AH36</f>
        <v/>
      </c>
      <c r="AJ36" t="n">
        <v>101454.25</v>
      </c>
      <c r="AK36" t="n">
        <v>2523</v>
      </c>
      <c r="AL36">
        <f>AJ36*AK36</f>
        <v/>
      </c>
      <c r="AM36" t="n">
        <v>105958.88</v>
      </c>
      <c r="AN36" t="n">
        <v>2454</v>
      </c>
      <c r="AO36">
        <f>AM36*AN36</f>
        <v/>
      </c>
      <c r="AP36" t="n">
        <v>92392.53</v>
      </c>
      <c r="AQ36" t="n">
        <v>3630</v>
      </c>
      <c r="AR36">
        <f>AP36*AQ36</f>
        <v/>
      </c>
      <c r="AS36" t="n">
        <v>96474.8</v>
      </c>
      <c r="AT36" t="n">
        <v>3169</v>
      </c>
      <c r="AU36">
        <f>AS36*AT36</f>
        <v/>
      </c>
      <c r="AV36" t="n">
        <v>100924.22</v>
      </c>
      <c r="AW36" t="n">
        <v>3144</v>
      </c>
      <c r="AX36">
        <f>AV36*AW36</f>
        <v/>
      </c>
      <c r="AY36">
        <f>IFERROR(BA36/AZ36,0)</f>
        <v/>
      </c>
      <c r="AZ36">
        <f>SUM(P36,S36,V36,Y36,AB36,AE36,AH36,AK36,AN36,AQ36,AT36,AW36)</f>
        <v/>
      </c>
      <c r="BA36">
        <f>SUM(Q36,T36,W36,Z36,AC36,AF36,AI36,AL36,AO36,AR36,AU36,AX36)</f>
        <v/>
      </c>
      <c r="BB36">
        <f>AY36-L36</f>
        <v/>
      </c>
      <c r="BC36">
        <f>IFERROR(BB36/L36,0)</f>
        <v/>
      </c>
      <c r="BF36">
        <f>VLOOKUP("모티브"&amp;J36,인자!A:D,4,0)</f>
        <v/>
      </c>
    </row>
    <row r="37">
      <c r="A37" t="inlineStr">
        <is>
          <t>산전 영업부문</t>
        </is>
      </c>
      <c r="B37" t="inlineStr">
        <is>
          <t>산전 모티브</t>
        </is>
      </c>
      <c r="C37" t="inlineStr">
        <is>
          <t>모티브파트</t>
        </is>
      </c>
      <c r="D37" t="n">
        <v>9004810</v>
      </c>
      <c r="E37" t="inlineStr">
        <is>
          <t>참좋은상사F</t>
        </is>
      </c>
      <c r="F37" t="n">
        <v>9004810</v>
      </c>
      <c r="G37" t="inlineStr">
        <is>
          <t>참좋은상사F</t>
        </is>
      </c>
      <c r="H37" t="inlineStr">
        <is>
          <t>황준서</t>
        </is>
      </c>
      <c r="I37" t="inlineStr">
        <is>
          <t>창원</t>
        </is>
      </c>
      <c r="J37" t="inlineStr">
        <is>
          <t>차량용 소형 EXP</t>
        </is>
      </c>
      <c r="L37" t="n">
        <v>52862.93</v>
      </c>
      <c r="M37" t="n">
        <v>1366</v>
      </c>
      <c r="N37">
        <f>L37*M37</f>
        <v/>
      </c>
      <c r="O37" t="n">
        <v>55201.41</v>
      </c>
      <c r="P37" t="n">
        <v>992</v>
      </c>
      <c r="Q37">
        <f>O37*P37</f>
        <v/>
      </c>
      <c r="R37" t="n">
        <v>51428.22</v>
      </c>
      <c r="S37" t="n">
        <v>1546</v>
      </c>
      <c r="T37">
        <f>R37*S37</f>
        <v/>
      </c>
      <c r="U37" t="n">
        <v>57827.7</v>
      </c>
      <c r="V37" t="n">
        <v>1457</v>
      </c>
      <c r="W37">
        <f>U37*V37</f>
        <v/>
      </c>
      <c r="X37" t="n">
        <v>55531.36</v>
      </c>
      <c r="Y37" t="n">
        <v>1599</v>
      </c>
      <c r="Z37">
        <f>X37*Y37</f>
        <v/>
      </c>
      <c r="AA37" t="n">
        <v>50050.65</v>
      </c>
      <c r="AB37" t="n">
        <v>1152</v>
      </c>
      <c r="AC37">
        <f>AA37*AB37</f>
        <v/>
      </c>
      <c r="AD37" t="n">
        <v>57785.49</v>
      </c>
      <c r="AE37" t="n">
        <v>1599</v>
      </c>
      <c r="AF37">
        <f>AD37*AE37</f>
        <v/>
      </c>
      <c r="AG37" t="n">
        <v>57133.98</v>
      </c>
      <c r="AH37" t="n">
        <v>1115</v>
      </c>
      <c r="AI37">
        <f>AG37*AH37</f>
        <v/>
      </c>
      <c r="AJ37" t="n">
        <v>54748.09</v>
      </c>
      <c r="AK37" t="n">
        <v>1424</v>
      </c>
      <c r="AL37">
        <f>AJ37*AK37</f>
        <v/>
      </c>
      <c r="AM37" t="n">
        <v>52234.89</v>
      </c>
      <c r="AN37" t="n">
        <v>1587</v>
      </c>
      <c r="AO37">
        <f>AM37*AN37</f>
        <v/>
      </c>
      <c r="AP37" t="n">
        <v>55803.42</v>
      </c>
      <c r="AQ37" t="n">
        <v>1368</v>
      </c>
      <c r="AR37">
        <f>AP37*AQ37</f>
        <v/>
      </c>
      <c r="AS37" t="n">
        <v>52002.96</v>
      </c>
      <c r="AT37" t="n">
        <v>1089</v>
      </c>
      <c r="AU37">
        <f>AS37*AT37</f>
        <v/>
      </c>
      <c r="AV37" t="n">
        <v>49687.96</v>
      </c>
      <c r="AW37" t="n">
        <v>1452</v>
      </c>
      <c r="AX37">
        <f>AV37*AW37</f>
        <v/>
      </c>
      <c r="AY37">
        <f>IFERROR(BA37/AZ37,0)</f>
        <v/>
      </c>
      <c r="AZ37">
        <f>SUM(P37,S37,V37,Y37,AB37,AE37,AH37,AK37,AN37,AQ37,AT37,AW37)</f>
        <v/>
      </c>
      <c r="BA37">
        <f>SUM(Q37,T37,W37,Z37,AC37,AF37,AI37,AL37,AO37,AR37,AU37,AX37)</f>
        <v/>
      </c>
      <c r="BB37">
        <f>AY37-L37</f>
        <v/>
      </c>
      <c r="BC37">
        <f>IFERROR(BB37/L37,0)</f>
        <v/>
      </c>
      <c r="BF37">
        <f>VLOOKUP("모티브"&amp;J37,인자!A:D,4,0)</f>
        <v/>
      </c>
    </row>
    <row r="38">
      <c r="A38" t="inlineStr">
        <is>
          <t>산전 영업부문</t>
        </is>
      </c>
      <c r="B38" t="inlineStr">
        <is>
          <t>산전 모티브</t>
        </is>
      </c>
      <c r="C38" t="inlineStr">
        <is>
          <t>모티브파트</t>
        </is>
      </c>
      <c r="D38" t="n">
        <v>9099681</v>
      </c>
      <c r="E38" t="inlineStr">
        <is>
          <t>미래모터스E</t>
        </is>
      </c>
      <c r="F38" t="n">
        <v>9099681</v>
      </c>
      <c r="G38" t="inlineStr">
        <is>
          <t>미래모터스E</t>
        </is>
      </c>
      <c r="H38" t="inlineStr">
        <is>
          <t>김민준</t>
        </is>
      </c>
      <c r="I38" t="inlineStr">
        <is>
          <t>광주</t>
        </is>
      </c>
      <c r="J38" t="inlineStr">
        <is>
          <t>Longest(GC8)</t>
        </is>
      </c>
      <c r="L38" t="n">
        <v>214863.29</v>
      </c>
      <c r="M38" t="n">
        <v>4236</v>
      </c>
      <c r="N38">
        <f>L38*M38</f>
        <v/>
      </c>
      <c r="O38" t="n">
        <v>229953.83</v>
      </c>
      <c r="P38" t="n">
        <v>3690</v>
      </c>
      <c r="Q38">
        <f>O38*P38</f>
        <v/>
      </c>
      <c r="R38" t="n">
        <v>226170.12</v>
      </c>
      <c r="S38" t="n">
        <v>3659</v>
      </c>
      <c r="T38">
        <f>R38*S38</f>
        <v/>
      </c>
      <c r="U38" t="n">
        <v>232280.38</v>
      </c>
      <c r="V38" t="n">
        <v>3340</v>
      </c>
      <c r="W38">
        <f>U38*V38</f>
        <v/>
      </c>
      <c r="X38" t="n">
        <v>212176.32</v>
      </c>
      <c r="Y38" t="n">
        <v>5371</v>
      </c>
      <c r="Z38">
        <f>X38*Y38</f>
        <v/>
      </c>
      <c r="AA38" t="n">
        <v>202918.52</v>
      </c>
      <c r="AB38" t="n">
        <v>4112</v>
      </c>
      <c r="AC38">
        <f>AA38*AB38</f>
        <v/>
      </c>
      <c r="AD38" t="n">
        <v>208399.56</v>
      </c>
      <c r="AE38" t="n">
        <v>3033</v>
      </c>
      <c r="AF38">
        <f>AD38*AE38</f>
        <v/>
      </c>
      <c r="AG38" t="n">
        <v>195665.55</v>
      </c>
      <c r="AH38" t="n">
        <v>4241</v>
      </c>
      <c r="AI38">
        <f>AG38*AH38</f>
        <v/>
      </c>
      <c r="AJ38" t="n">
        <v>203508.97</v>
      </c>
      <c r="AK38" t="n">
        <v>5493</v>
      </c>
      <c r="AL38">
        <f>AJ38*AK38</f>
        <v/>
      </c>
      <c r="AM38" t="n">
        <v>209487.96</v>
      </c>
      <c r="AN38" t="n">
        <v>3037</v>
      </c>
      <c r="AO38">
        <f>AM38*AN38</f>
        <v/>
      </c>
      <c r="AP38" t="n">
        <v>233377.02</v>
      </c>
      <c r="AQ38" t="n">
        <v>5098</v>
      </c>
      <c r="AR38">
        <f>AP38*AQ38</f>
        <v/>
      </c>
      <c r="AS38" t="n">
        <v>221307.5</v>
      </c>
      <c r="AT38" t="n">
        <v>4977</v>
      </c>
      <c r="AU38">
        <f>AS38*AT38</f>
        <v/>
      </c>
      <c r="AV38" t="n">
        <v>199289.98</v>
      </c>
      <c r="AW38" t="n">
        <v>3694</v>
      </c>
      <c r="AX38">
        <f>AV38*AW38</f>
        <v/>
      </c>
      <c r="AY38">
        <f>IFERROR(BA38/AZ38,0)</f>
        <v/>
      </c>
      <c r="AZ38">
        <f>SUM(P38,S38,V38,Y38,AB38,AE38,AH38,AK38,AN38,AQ38,AT38,AW38)</f>
        <v/>
      </c>
      <c r="BA38">
        <f>SUM(Q38,T38,W38,Z38,AC38,AF38,AI38,AL38,AO38,AR38,AU38,AX38)</f>
        <v/>
      </c>
      <c r="BB38">
        <f>AY38-L38</f>
        <v/>
      </c>
      <c r="BC38">
        <f>IFERROR(BB38/L38,0)</f>
        <v/>
      </c>
      <c r="BF38">
        <f>VLOOKUP("모티브"&amp;J38,인자!A:D,4,0)</f>
        <v/>
      </c>
    </row>
    <row r="39">
      <c r="A39" t="inlineStr">
        <is>
          <t>산전 영업부문</t>
        </is>
      </c>
      <c r="B39" t="inlineStr">
        <is>
          <t>산전 모티브</t>
        </is>
      </c>
      <c r="C39" t="inlineStr">
        <is>
          <t>산전사업소</t>
        </is>
      </c>
      <c r="D39" t="n">
        <v>9033083</v>
      </c>
      <c r="E39" t="inlineStr">
        <is>
          <t>대한상용H</t>
        </is>
      </c>
      <c r="F39" t="n">
        <v>9033083</v>
      </c>
      <c r="G39" t="inlineStr">
        <is>
          <t>대한상용H</t>
        </is>
      </c>
      <c r="H39" t="inlineStr">
        <is>
          <t>오은서</t>
        </is>
      </c>
      <c r="I39" t="inlineStr">
        <is>
          <t>창원</t>
        </is>
      </c>
      <c r="J39" t="inlineStr">
        <is>
          <t>차량용 대형 EXP</t>
        </is>
      </c>
      <c r="L39" t="n">
        <v>186527.74</v>
      </c>
      <c r="M39" t="n">
        <v>659</v>
      </c>
      <c r="N39">
        <f>L39*M39</f>
        <v/>
      </c>
      <c r="O39" t="n">
        <v>168583.92</v>
      </c>
      <c r="P39" t="n">
        <v>547</v>
      </c>
      <c r="Q39">
        <f>O39*P39</f>
        <v/>
      </c>
      <c r="R39" t="n">
        <v>173452.88</v>
      </c>
      <c r="S39" t="n">
        <v>833</v>
      </c>
      <c r="T39">
        <f>R39*S39</f>
        <v/>
      </c>
      <c r="U39" t="n">
        <v>190589.57</v>
      </c>
      <c r="V39" t="n">
        <v>629</v>
      </c>
      <c r="W39">
        <f>U39*V39</f>
        <v/>
      </c>
      <c r="X39" t="n">
        <v>196830.51</v>
      </c>
      <c r="Y39" t="n">
        <v>555</v>
      </c>
      <c r="Z39">
        <f>X39*Y39</f>
        <v/>
      </c>
      <c r="AA39" t="n">
        <v>172420.59</v>
      </c>
      <c r="AB39" t="n">
        <v>556</v>
      </c>
      <c r="AC39">
        <f>AA39*AB39</f>
        <v/>
      </c>
      <c r="AD39" t="n">
        <v>191711.41</v>
      </c>
      <c r="AE39" t="n">
        <v>708</v>
      </c>
      <c r="AF39">
        <f>AD39*AE39</f>
        <v/>
      </c>
      <c r="AG39" t="n">
        <v>170218.02</v>
      </c>
      <c r="AH39" t="n">
        <v>792</v>
      </c>
      <c r="AI39">
        <f>AG39*AH39</f>
        <v/>
      </c>
      <c r="AJ39" t="n">
        <v>186521.37</v>
      </c>
      <c r="AK39" t="n">
        <v>673</v>
      </c>
      <c r="AL39">
        <f>AJ39*AK39</f>
        <v/>
      </c>
      <c r="AM39" t="n">
        <v>191450.39</v>
      </c>
      <c r="AN39" t="n">
        <v>689</v>
      </c>
      <c r="AO39">
        <f>AM39*AN39</f>
        <v/>
      </c>
      <c r="AP39" t="n">
        <v>194680.66</v>
      </c>
      <c r="AQ39" t="n">
        <v>576</v>
      </c>
      <c r="AR39">
        <f>AP39*AQ39</f>
        <v/>
      </c>
      <c r="AS39" t="n">
        <v>167933.32</v>
      </c>
      <c r="AT39" t="n">
        <v>601</v>
      </c>
      <c r="AU39">
        <f>AS39*AT39</f>
        <v/>
      </c>
      <c r="AV39" t="n">
        <v>189163.89</v>
      </c>
      <c r="AW39" t="n">
        <v>535</v>
      </c>
      <c r="AX39">
        <f>AV39*AW39</f>
        <v/>
      </c>
      <c r="AY39">
        <f>IFERROR(BA39/AZ39,0)</f>
        <v/>
      </c>
      <c r="AZ39">
        <f>SUM(P39,S39,V39,Y39,AB39,AE39,AH39,AK39,AN39,AQ39,AT39,AW39)</f>
        <v/>
      </c>
      <c r="BA39">
        <f>SUM(Q39,T39,W39,Z39,AC39,AF39,AI39,AL39,AO39,AR39,AU39,AX39)</f>
        <v/>
      </c>
      <c r="BB39">
        <f>AY39-L39</f>
        <v/>
      </c>
      <c r="BC39">
        <f>IFERROR(BB39/L39,0)</f>
        <v/>
      </c>
      <c r="BF39">
        <f>VLOOKUP("모티브"&amp;J39,인자!A:D,4,0)</f>
        <v/>
      </c>
    </row>
    <row r="40">
      <c r="A40" t="inlineStr">
        <is>
          <t>산전 영업부문</t>
        </is>
      </c>
      <c r="B40" t="inlineStr">
        <is>
          <t>산전 모티브</t>
        </is>
      </c>
      <c r="C40" t="inlineStr">
        <is>
          <t>모티브파트</t>
        </is>
      </c>
      <c r="D40" t="n">
        <v>9053956</v>
      </c>
      <c r="E40" t="inlineStr">
        <is>
          <t>대한상용B</t>
        </is>
      </c>
      <c r="F40" t="n">
        <v>9053956</v>
      </c>
      <c r="G40" t="inlineStr">
        <is>
          <t>대한상용B</t>
        </is>
      </c>
      <c r="H40" t="inlineStr">
        <is>
          <t>장수아</t>
        </is>
      </c>
      <c r="I40" t="inlineStr">
        <is>
          <t>광주</t>
        </is>
      </c>
      <c r="J40" t="inlineStr">
        <is>
          <t>V-Type(Set)/보수</t>
        </is>
      </c>
      <c r="L40" t="n">
        <v>120183.85</v>
      </c>
      <c r="M40" t="n">
        <v>3861</v>
      </c>
      <c r="N40">
        <f>L40*M40</f>
        <v/>
      </c>
      <c r="O40" t="n">
        <v>109211.89</v>
      </c>
      <c r="P40" t="n">
        <v>3599</v>
      </c>
      <c r="Q40">
        <f>O40*P40</f>
        <v/>
      </c>
      <c r="R40" t="n">
        <v>117138.45</v>
      </c>
      <c r="S40" t="n">
        <v>4434</v>
      </c>
      <c r="T40">
        <f>R40*S40</f>
        <v/>
      </c>
      <c r="U40" t="n">
        <v>116748.85</v>
      </c>
      <c r="V40" t="n">
        <v>2859</v>
      </c>
      <c r="W40">
        <f>U40*V40</f>
        <v/>
      </c>
      <c r="X40" t="n">
        <v>113961.35</v>
      </c>
      <c r="Y40" t="n">
        <v>4225</v>
      </c>
      <c r="Z40">
        <f>X40*Y40</f>
        <v/>
      </c>
      <c r="AA40" t="n">
        <v>110657.21</v>
      </c>
      <c r="AB40" t="n">
        <v>4051</v>
      </c>
      <c r="AC40">
        <f>AA40*AB40</f>
        <v/>
      </c>
      <c r="AD40" t="n">
        <v>126353.58</v>
      </c>
      <c r="AE40" t="n">
        <v>3012</v>
      </c>
      <c r="AF40">
        <f>AD40*AE40</f>
        <v/>
      </c>
      <c r="AG40" t="n">
        <v>116633.6</v>
      </c>
      <c r="AH40" t="n">
        <v>3487</v>
      </c>
      <c r="AI40">
        <f>AG40*AH40</f>
        <v/>
      </c>
      <c r="AJ40" t="n">
        <v>123616.2</v>
      </c>
      <c r="AK40" t="n">
        <v>4626</v>
      </c>
      <c r="AL40">
        <f>AJ40*AK40</f>
        <v/>
      </c>
      <c r="AM40" t="n">
        <v>124623.02</v>
      </c>
      <c r="AN40" t="n">
        <v>4975</v>
      </c>
      <c r="AO40">
        <f>AM40*AN40</f>
        <v/>
      </c>
      <c r="AP40" t="n">
        <v>119667.81</v>
      </c>
      <c r="AQ40" t="n">
        <v>3125</v>
      </c>
      <c r="AR40">
        <f>AP40*AQ40</f>
        <v/>
      </c>
      <c r="AS40" t="n">
        <v>111406.89</v>
      </c>
      <c r="AT40" t="n">
        <v>4361</v>
      </c>
      <c r="AU40">
        <f>AS40*AT40</f>
        <v/>
      </c>
      <c r="AV40" t="n">
        <v>130846.68</v>
      </c>
      <c r="AW40" t="n">
        <v>2788</v>
      </c>
      <c r="AX40">
        <f>AV40*AW40</f>
        <v/>
      </c>
      <c r="AY40">
        <f>IFERROR(BA40/AZ40,0)</f>
        <v/>
      </c>
      <c r="AZ40">
        <f>SUM(P40,S40,V40,Y40,AB40,AE40,AH40,AK40,AN40,AQ40,AT40,AW40)</f>
        <v/>
      </c>
      <c r="BA40">
        <f>SUM(Q40,T40,W40,Z40,AC40,AF40,AI40,AL40,AO40,AR40,AU40,AX40)</f>
        <v/>
      </c>
      <c r="BB40">
        <f>AY40-L40</f>
        <v/>
      </c>
      <c r="BC40">
        <f>IFERROR(BB40/L40,0)</f>
        <v/>
      </c>
      <c r="BF40">
        <f>VLOOKUP("모티브"&amp;J40,인자!A:D,4,0)</f>
        <v/>
      </c>
    </row>
    <row r="41">
      <c r="A41" t="inlineStr">
        <is>
          <t>산전 영업부문</t>
        </is>
      </c>
      <c r="B41" t="inlineStr">
        <is>
          <t>산전 모티브</t>
        </is>
      </c>
      <c r="C41" t="inlineStr">
        <is>
          <t>산전사업소</t>
        </is>
      </c>
      <c r="D41" t="n">
        <v>9086847</v>
      </c>
      <c r="E41" t="inlineStr">
        <is>
          <t>스타에너지D</t>
        </is>
      </c>
      <c r="F41" t="n">
        <v>9086847</v>
      </c>
      <c r="G41" t="inlineStr">
        <is>
          <t>스타에너지D</t>
        </is>
      </c>
      <c r="H41" t="inlineStr">
        <is>
          <t>김민준</t>
        </is>
      </c>
      <c r="I41" t="inlineStr">
        <is>
          <t>창원</t>
        </is>
      </c>
      <c r="J41" t="inlineStr">
        <is>
          <t>V-Type(Cell)</t>
        </is>
      </c>
      <c r="L41" t="n">
        <v>280344.44</v>
      </c>
      <c r="M41" t="n">
        <v>4232</v>
      </c>
      <c r="N41">
        <f>L41*M41</f>
        <v/>
      </c>
      <c r="O41" t="n">
        <v>274637.98</v>
      </c>
      <c r="P41" t="n">
        <v>5033</v>
      </c>
      <c r="Q41">
        <f>O41*P41</f>
        <v/>
      </c>
      <c r="R41" t="n">
        <v>278852.99</v>
      </c>
      <c r="S41" t="n">
        <v>3055</v>
      </c>
      <c r="T41">
        <f>R41*S41</f>
        <v/>
      </c>
      <c r="U41" t="n">
        <v>288580.99</v>
      </c>
      <c r="V41" t="n">
        <v>3689</v>
      </c>
      <c r="W41">
        <f>U41*V41</f>
        <v/>
      </c>
      <c r="X41" t="n">
        <v>300649.14</v>
      </c>
      <c r="Y41" t="n">
        <v>3084</v>
      </c>
      <c r="Z41">
        <f>X41*Y41</f>
        <v/>
      </c>
      <c r="AA41" t="n">
        <v>289076.12</v>
      </c>
      <c r="AB41" t="n">
        <v>3656</v>
      </c>
      <c r="AC41">
        <f>AA41*AB41</f>
        <v/>
      </c>
      <c r="AD41" t="n">
        <v>297128.24</v>
      </c>
      <c r="AE41" t="n">
        <v>4072</v>
      </c>
      <c r="AF41">
        <f>AD41*AE41</f>
        <v/>
      </c>
      <c r="AG41" t="n">
        <v>274738.77</v>
      </c>
      <c r="AH41" t="n">
        <v>4079</v>
      </c>
      <c r="AI41">
        <f>AG41*AH41</f>
        <v/>
      </c>
      <c r="AJ41" t="n">
        <v>305938.69</v>
      </c>
      <c r="AK41" t="n">
        <v>3823</v>
      </c>
      <c r="AL41">
        <f>AJ41*AK41</f>
        <v/>
      </c>
      <c r="AM41" t="n">
        <v>262784.63</v>
      </c>
      <c r="AN41" t="n">
        <v>4720</v>
      </c>
      <c r="AO41">
        <f>AM41*AN41</f>
        <v/>
      </c>
      <c r="AP41" t="n">
        <v>272906.73</v>
      </c>
      <c r="AQ41" t="n">
        <v>4987</v>
      </c>
      <c r="AR41">
        <f>AP41*AQ41</f>
        <v/>
      </c>
      <c r="AS41" t="n">
        <v>267264.73</v>
      </c>
      <c r="AT41" t="n">
        <v>3172</v>
      </c>
      <c r="AU41">
        <f>AS41*AT41</f>
        <v/>
      </c>
      <c r="AV41" t="n">
        <v>276111.22</v>
      </c>
      <c r="AW41" t="n">
        <v>4056</v>
      </c>
      <c r="AX41">
        <f>AV41*AW41</f>
        <v/>
      </c>
      <c r="AY41">
        <f>IFERROR(BA41/AZ41,0)</f>
        <v/>
      </c>
      <c r="AZ41">
        <f>SUM(P41,S41,V41,Y41,AB41,AE41,AH41,AK41,AN41,AQ41,AT41,AW41)</f>
        <v/>
      </c>
      <c r="BA41">
        <f>SUM(Q41,T41,W41,Z41,AC41,AF41,AI41,AL41,AO41,AR41,AU41,AX41)</f>
        <v/>
      </c>
      <c r="BB41">
        <f>AY41-L41</f>
        <v/>
      </c>
      <c r="BC41">
        <f>IFERROR(BB41/L41,0)</f>
        <v/>
      </c>
      <c r="BF41">
        <f>VLOOKUP("모티브"&amp;J41,인자!A:D,4,0)</f>
        <v/>
      </c>
    </row>
    <row r="42">
      <c r="A42" t="inlineStr">
        <is>
          <t>산전 영업부문</t>
        </is>
      </c>
      <c r="B42" t="inlineStr">
        <is>
          <t>산전 모티브</t>
        </is>
      </c>
      <c r="C42" t="inlineStr">
        <is>
          <t>모티브파트</t>
        </is>
      </c>
      <c r="D42" t="n">
        <v>9064943</v>
      </c>
      <c r="E42" t="inlineStr">
        <is>
          <t>그린텍배터리C</t>
        </is>
      </c>
      <c r="F42" t="n">
        <v>9064943</v>
      </c>
      <c r="G42" t="inlineStr">
        <is>
          <t>그린텍배터리C</t>
        </is>
      </c>
      <c r="H42" t="inlineStr">
        <is>
          <t>장수아</t>
        </is>
      </c>
      <c r="I42" t="inlineStr">
        <is>
          <t>광주</t>
        </is>
      </c>
      <c r="J42" t="inlineStr">
        <is>
          <t>Longest(GC8)</t>
        </is>
      </c>
      <c r="L42" t="n">
        <v>28620.33</v>
      </c>
      <c r="M42" t="n">
        <v>2431</v>
      </c>
      <c r="N42">
        <f>L42*M42</f>
        <v/>
      </c>
      <c r="O42" t="n">
        <v>27512.7</v>
      </c>
      <c r="P42" t="n">
        <v>2581</v>
      </c>
      <c r="Q42">
        <f>O42*P42</f>
        <v/>
      </c>
      <c r="R42" t="n">
        <v>28197.41</v>
      </c>
      <c r="S42" t="n">
        <v>2708</v>
      </c>
      <c r="T42">
        <f>R42*S42</f>
        <v/>
      </c>
      <c r="U42" t="n">
        <v>27770.58</v>
      </c>
      <c r="V42" t="n">
        <v>1763</v>
      </c>
      <c r="W42">
        <f>U42*V42</f>
        <v/>
      </c>
      <c r="X42" t="n">
        <v>30738.45</v>
      </c>
      <c r="Y42" t="n">
        <v>2216</v>
      </c>
      <c r="Z42">
        <f>X42*Y42</f>
        <v/>
      </c>
      <c r="AA42" t="n">
        <v>31471.78</v>
      </c>
      <c r="AB42" t="n">
        <v>2102</v>
      </c>
      <c r="AC42">
        <f>AA42*AB42</f>
        <v/>
      </c>
      <c r="AD42" t="n">
        <v>31368.04</v>
      </c>
      <c r="AE42" t="n">
        <v>3084</v>
      </c>
      <c r="AF42">
        <f>AD42*AE42</f>
        <v/>
      </c>
      <c r="AG42" t="n">
        <v>26187.84</v>
      </c>
      <c r="AH42" t="n">
        <v>2632</v>
      </c>
      <c r="AI42">
        <f>AG42*AH42</f>
        <v/>
      </c>
      <c r="AJ42" t="n">
        <v>27837.91</v>
      </c>
      <c r="AK42" t="n">
        <v>2870</v>
      </c>
      <c r="AL42">
        <f>AJ42*AK42</f>
        <v/>
      </c>
      <c r="AM42" t="n">
        <v>29647.29</v>
      </c>
      <c r="AN42" t="n">
        <v>3091</v>
      </c>
      <c r="AO42">
        <f>AM42*AN42</f>
        <v/>
      </c>
      <c r="AP42" t="n">
        <v>26575.58</v>
      </c>
      <c r="AQ42" t="n">
        <v>2588</v>
      </c>
      <c r="AR42">
        <f>AP42*AQ42</f>
        <v/>
      </c>
      <c r="AS42" t="n">
        <v>30230.58</v>
      </c>
      <c r="AT42" t="n">
        <v>1752</v>
      </c>
      <c r="AU42">
        <f>AS42*AT42</f>
        <v/>
      </c>
      <c r="AV42" t="n">
        <v>26143.15</v>
      </c>
      <c r="AW42" t="n">
        <v>2837</v>
      </c>
      <c r="AX42">
        <f>AV42*AW42</f>
        <v/>
      </c>
      <c r="AY42">
        <f>IFERROR(BA42/AZ42,0)</f>
        <v/>
      </c>
      <c r="AZ42">
        <f>SUM(P42,S42,V42,Y42,AB42,AE42,AH42,AK42,AN42,AQ42,AT42,AW42)</f>
        <v/>
      </c>
      <c r="BA42">
        <f>SUM(Q42,T42,W42,Z42,AC42,AF42,AI42,AL42,AO42,AR42,AU42,AX42)</f>
        <v/>
      </c>
      <c r="BB42">
        <f>AY42-L42</f>
        <v/>
      </c>
      <c r="BC42">
        <f>IFERROR(BB42/L42,0)</f>
        <v/>
      </c>
      <c r="BF42">
        <f>VLOOKUP("모티브"&amp;J42,인자!A:D,4,0)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F4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</cols>
  <sheetData>
    <row r="2">
      <c r="A2" s="1" t="inlineStr">
        <is>
          <t xml:space="preserve"> 2026년 차량대리점 판매계획 (더미데이터)</t>
        </is>
      </c>
    </row>
    <row r="6">
      <c r="A6" s="2" t="inlineStr">
        <is>
          <t>1. 기본정보</t>
        </is>
      </c>
    </row>
    <row r="7">
      <c r="A7" s="3" t="inlineStr">
        <is>
          <t>구분</t>
        </is>
      </c>
      <c r="B7" s="3" t="inlineStr">
        <is>
          <t>25년 8월 누계</t>
        </is>
      </c>
      <c r="C7" s="3" t="inlineStr">
        <is>
          <t>26년 경영계획</t>
        </is>
      </c>
      <c r="D7" s="3" t="inlineStr">
        <is>
          <t>증감율</t>
        </is>
      </c>
    </row>
    <row r="8">
      <c r="A8" t="inlineStr">
        <is>
          <t>LME</t>
        </is>
      </c>
      <c r="B8" t="n">
        <v>1946.53</v>
      </c>
      <c r="C8" t="n">
        <v>1953.14</v>
      </c>
      <c r="D8">
        <f>C8/B8-1</f>
        <v/>
      </c>
    </row>
    <row r="9">
      <c r="A9" t="inlineStr">
        <is>
          <t>USD</t>
        </is>
      </c>
      <c r="B9" t="n">
        <v>1413.45</v>
      </c>
      <c r="C9" t="n">
        <v>1421.02</v>
      </c>
      <c r="D9">
        <f>C9/B9-1</f>
        <v/>
      </c>
    </row>
    <row r="10">
      <c r="A10" t="inlineStr">
        <is>
          <t>지수</t>
        </is>
      </c>
      <c r="B10">
        <f>B8*B9/1000</f>
        <v/>
      </c>
      <c r="C10">
        <f>C8*C9/1000</f>
        <v/>
      </c>
      <c r="D10">
        <f>C10/B10-1</f>
        <v/>
      </c>
      <c r="I10" t="inlineStr">
        <is>
          <t>※ 더미데이터 안내</t>
        </is>
      </c>
    </row>
    <row r="11">
      <c r="A11" t="inlineStr">
        <is>
          <t>JPY</t>
        </is>
      </c>
      <c r="B11" t="n">
        <v>1001.86</v>
      </c>
      <c r="C11" t="n">
        <v>1042.32</v>
      </c>
      <c r="D11">
        <f>C11/B11-1</f>
        <v/>
      </c>
      <c r="I11" t="inlineStr">
        <is>
          <t>- 본 파일은 판매계획 양식.xlsx의 스키마(시트/컬럼/수식 구조)를 참고하여 생성한 가상 데이터입니다.</t>
        </is>
      </c>
    </row>
    <row r="12">
      <c r="A12" t="inlineStr">
        <is>
          <t>EUR</t>
        </is>
      </c>
      <c r="B12" t="n">
        <v>1555.8</v>
      </c>
      <c r="C12" t="n">
        <v>1614.46</v>
      </c>
      <c r="D12">
        <f>C12/B12-1</f>
        <v/>
      </c>
      <c r="I12" t="inlineStr">
        <is>
          <t>- 거래처명, 담당자명, 코드, 수량/금액은 전부 무작위로 생성된 값이며 실제 데이터와 무관합니다.</t>
        </is>
      </c>
    </row>
    <row r="15">
      <c r="A15" t="inlineStr">
        <is>
          <t>2026년 판매계획 (더미데이터) - 담당/거래처/수량/금액은 모두 가상 값</t>
        </is>
      </c>
    </row>
    <row r="16">
      <c r="A16" t="inlineStr">
        <is>
          <t>구분</t>
        </is>
      </c>
      <c r="L16" t="inlineStr">
        <is>
          <t>25년 8월 누계</t>
        </is>
      </c>
      <c r="O16" t="inlineStr">
        <is>
          <t>1월</t>
        </is>
      </c>
      <c r="R16" t="inlineStr">
        <is>
          <t>2월</t>
        </is>
      </c>
      <c r="U16" t="inlineStr">
        <is>
          <t>3월</t>
        </is>
      </c>
      <c r="X16" t="inlineStr">
        <is>
          <t>4월</t>
        </is>
      </c>
      <c r="AA16" t="inlineStr">
        <is>
          <t>5월</t>
        </is>
      </c>
      <c r="AD16" t="inlineStr">
        <is>
          <t>6월</t>
        </is>
      </c>
      <c r="AG16" t="inlineStr">
        <is>
          <t>7월</t>
        </is>
      </c>
      <c r="AJ16" t="inlineStr">
        <is>
          <t>8월</t>
        </is>
      </c>
      <c r="AM16" t="inlineStr">
        <is>
          <t>9월</t>
        </is>
      </c>
      <c r="AP16" t="inlineStr">
        <is>
          <t>10월</t>
        </is>
      </c>
      <c r="AS16" t="inlineStr">
        <is>
          <t>11월</t>
        </is>
      </c>
      <c r="AV16" t="inlineStr">
        <is>
          <t>12월</t>
        </is>
      </c>
    </row>
    <row r="17">
      <c r="A17" s="4" t="inlineStr">
        <is>
          <t>담당</t>
        </is>
      </c>
      <c r="B17" s="4" t="inlineStr">
        <is>
          <t>팀</t>
        </is>
      </c>
      <c r="C17" s="4" t="inlineStr">
        <is>
          <t>유통채널</t>
        </is>
      </c>
      <c r="D17" s="4" t="inlineStr">
        <is>
          <t>고객</t>
        </is>
      </c>
      <c r="E17" s="4" t="inlineStr">
        <is>
          <t>고객명</t>
        </is>
      </c>
      <c r="F17" s="4" t="inlineStr">
        <is>
          <t>납품처</t>
        </is>
      </c>
      <c r="G17" s="4" t="inlineStr">
        <is>
          <t>납품처명</t>
        </is>
      </c>
      <c r="H17" s="4" t="inlineStr">
        <is>
          <t>영업담당</t>
        </is>
      </c>
      <c r="I17" s="4" t="inlineStr">
        <is>
          <t>구분</t>
        </is>
      </c>
      <c r="J17" s="4" t="inlineStr">
        <is>
          <t>제품군 구분</t>
        </is>
      </c>
      <c r="K17" s="4" t="inlineStr">
        <is>
          <t>제품코드</t>
        </is>
      </c>
      <c r="L17" s="4" t="inlineStr">
        <is>
          <t>판가</t>
        </is>
      </c>
      <c r="M17" s="4" t="inlineStr">
        <is>
          <t>수량</t>
        </is>
      </c>
      <c r="N17" s="4" t="inlineStr">
        <is>
          <t>금액</t>
        </is>
      </c>
      <c r="O17" s="4" t="inlineStr">
        <is>
          <t>1월 판가</t>
        </is>
      </c>
      <c r="P17" s="4" t="inlineStr">
        <is>
          <t>1월 수량</t>
        </is>
      </c>
      <c r="Q17" s="4" t="inlineStr">
        <is>
          <t>1월 금액</t>
        </is>
      </c>
      <c r="R17" s="4" t="inlineStr">
        <is>
          <t>2월 판가</t>
        </is>
      </c>
      <c r="S17" s="4" t="inlineStr">
        <is>
          <t>2월 수량</t>
        </is>
      </c>
      <c r="T17" s="4" t="inlineStr">
        <is>
          <t>2월 금액</t>
        </is>
      </c>
      <c r="U17" s="4" t="inlineStr">
        <is>
          <t>3월 판가</t>
        </is>
      </c>
      <c r="V17" s="4" t="inlineStr">
        <is>
          <t>3월 수량</t>
        </is>
      </c>
      <c r="W17" s="4" t="inlineStr">
        <is>
          <t>3월 금액</t>
        </is>
      </c>
      <c r="X17" s="4" t="inlineStr">
        <is>
          <t>4월 판가</t>
        </is>
      </c>
      <c r="Y17" s="4" t="inlineStr">
        <is>
          <t>4월 수량</t>
        </is>
      </c>
      <c r="Z17" s="4" t="inlineStr">
        <is>
          <t>4월 금액</t>
        </is>
      </c>
      <c r="AA17" s="4" t="inlineStr">
        <is>
          <t>5월 판가</t>
        </is>
      </c>
      <c r="AB17" s="4" t="inlineStr">
        <is>
          <t>5월 수량</t>
        </is>
      </c>
      <c r="AC17" s="4" t="inlineStr">
        <is>
          <t>5월 금액</t>
        </is>
      </c>
      <c r="AD17" s="4" t="inlineStr">
        <is>
          <t>6월 판가</t>
        </is>
      </c>
      <c r="AE17" s="4" t="inlineStr">
        <is>
          <t>6월 수량</t>
        </is>
      </c>
      <c r="AF17" s="4" t="inlineStr">
        <is>
          <t>6월 금액</t>
        </is>
      </c>
      <c r="AG17" s="4" t="inlineStr">
        <is>
          <t>7월 판가</t>
        </is>
      </c>
      <c r="AH17" s="4" t="inlineStr">
        <is>
          <t>7월 수량</t>
        </is>
      </c>
      <c r="AI17" s="4" t="inlineStr">
        <is>
          <t>7월 금액</t>
        </is>
      </c>
      <c r="AJ17" s="4" t="inlineStr">
        <is>
          <t>8월 판가</t>
        </is>
      </c>
      <c r="AK17" s="4" t="inlineStr">
        <is>
          <t>8월 수량</t>
        </is>
      </c>
      <c r="AL17" s="4" t="inlineStr">
        <is>
          <t>8월 금액</t>
        </is>
      </c>
      <c r="AM17" s="4" t="inlineStr">
        <is>
          <t>9월 판가</t>
        </is>
      </c>
      <c r="AN17" s="4" t="inlineStr">
        <is>
          <t>9월 수량</t>
        </is>
      </c>
      <c r="AO17" s="4" t="inlineStr">
        <is>
          <t>9월 금액</t>
        </is>
      </c>
      <c r="AP17" s="4" t="inlineStr">
        <is>
          <t>10월 판가</t>
        </is>
      </c>
      <c r="AQ17" s="4" t="inlineStr">
        <is>
          <t>10월 수량</t>
        </is>
      </c>
      <c r="AR17" s="4" t="inlineStr">
        <is>
          <t>10월 금액</t>
        </is>
      </c>
      <c r="AS17" s="4" t="inlineStr">
        <is>
          <t>11월 판가</t>
        </is>
      </c>
      <c r="AT17" s="4" t="inlineStr">
        <is>
          <t>11월 수량</t>
        </is>
      </c>
      <c r="AU17" s="4" t="inlineStr">
        <is>
          <t>11월 금액</t>
        </is>
      </c>
      <c r="AV17" s="4" t="inlineStr">
        <is>
          <t>12월 판가</t>
        </is>
      </c>
      <c r="AW17" s="4" t="inlineStr">
        <is>
          <t>12월 수량</t>
        </is>
      </c>
      <c r="AX17" s="4" t="inlineStr">
        <is>
          <t>12월 금액</t>
        </is>
      </c>
      <c r="AY17" s="4" t="inlineStr">
        <is>
          <t>연평균판가</t>
        </is>
      </c>
      <c r="AZ17" s="4" t="inlineStr">
        <is>
          <t>연간수량합계</t>
        </is>
      </c>
      <c r="BA17" s="4" t="inlineStr">
        <is>
          <t>연간금액합계</t>
        </is>
      </c>
      <c r="BB17" s="4" t="inlineStr">
        <is>
          <t>판가차이</t>
        </is>
      </c>
      <c r="BC17" s="4" t="inlineStr">
        <is>
          <t>차이율</t>
        </is>
      </c>
      <c r="BD17" s="4" t="inlineStr">
        <is>
          <t>비고</t>
        </is>
      </c>
      <c r="BF17" s="4" t="inlineStr">
        <is>
          <t>본부보고용(제품군 매핑)</t>
        </is>
      </c>
    </row>
    <row r="18">
      <c r="A18" t="inlineStr">
        <is>
          <t>차량 영업부문</t>
        </is>
      </c>
      <c r="B18" t="inlineStr">
        <is>
          <t>차량 대리점</t>
        </is>
      </c>
      <c r="C18">
        <f>D18&amp;J18</f>
        <v/>
      </c>
      <c r="D18" t="n">
        <v>9048097</v>
      </c>
      <c r="E18" t="inlineStr">
        <is>
          <t>참좋은상사B</t>
        </is>
      </c>
      <c r="F18" t="n">
        <v>9048097</v>
      </c>
      <c r="G18" t="inlineStr">
        <is>
          <t>참좋은상사B</t>
        </is>
      </c>
      <c r="H18" t="inlineStr">
        <is>
          <t>정하은</t>
        </is>
      </c>
      <c r="I18" t="inlineStr">
        <is>
          <t>창원</t>
        </is>
      </c>
      <c r="J18" t="inlineStr">
        <is>
          <t>차량용 중형 PH</t>
        </is>
      </c>
      <c r="L18" t="n">
        <v>136650.57</v>
      </c>
      <c r="M18" t="n">
        <v>2349</v>
      </c>
      <c r="N18">
        <f>L18*M18</f>
        <v/>
      </c>
      <c r="O18" t="n">
        <v>141952.08</v>
      </c>
      <c r="P18" t="n">
        <v>3052</v>
      </c>
      <c r="Q18">
        <f>O18*P18</f>
        <v/>
      </c>
      <c r="R18" t="n">
        <v>128456.41</v>
      </c>
      <c r="S18" t="n">
        <v>1836</v>
      </c>
      <c r="T18">
        <f>R18*S18</f>
        <v/>
      </c>
      <c r="U18" t="n">
        <v>125009.36</v>
      </c>
      <c r="V18" t="n">
        <v>1888</v>
      </c>
      <c r="W18">
        <f>U18*V18</f>
        <v/>
      </c>
      <c r="X18" t="n">
        <v>142481.99</v>
      </c>
      <c r="Y18" t="n">
        <v>3050</v>
      </c>
      <c r="Z18">
        <f>X18*Y18</f>
        <v/>
      </c>
      <c r="AA18" t="n">
        <v>145136.93</v>
      </c>
      <c r="AB18" t="n">
        <v>3008</v>
      </c>
      <c r="AC18">
        <f>AA18*AB18</f>
        <v/>
      </c>
      <c r="AD18" t="n">
        <v>149948.71</v>
      </c>
      <c r="AE18" t="n">
        <v>2586</v>
      </c>
      <c r="AF18">
        <f>AD18*AE18</f>
        <v/>
      </c>
      <c r="AG18" t="n">
        <v>142377.34</v>
      </c>
      <c r="AH18" t="n">
        <v>2419</v>
      </c>
      <c r="AI18">
        <f>AG18*AH18</f>
        <v/>
      </c>
      <c r="AJ18" t="n">
        <v>130921.15</v>
      </c>
      <c r="AK18" t="n">
        <v>2067</v>
      </c>
      <c r="AL18">
        <f>AJ18*AK18</f>
        <v/>
      </c>
      <c r="AM18" t="n">
        <v>127290.15</v>
      </c>
      <c r="AN18" t="n">
        <v>2644</v>
      </c>
      <c r="AO18">
        <f>AM18*AN18</f>
        <v/>
      </c>
      <c r="AP18" t="n">
        <v>142122.59</v>
      </c>
      <c r="AQ18" t="n">
        <v>1890</v>
      </c>
      <c r="AR18">
        <f>AP18*AQ18</f>
        <v/>
      </c>
      <c r="AS18" t="n">
        <v>132865.14</v>
      </c>
      <c r="AT18" t="n">
        <v>1960</v>
      </c>
      <c r="AU18">
        <f>AS18*AT18</f>
        <v/>
      </c>
      <c r="AV18" t="n">
        <v>149909.3</v>
      </c>
      <c r="AW18" t="n">
        <v>2761</v>
      </c>
      <c r="AX18">
        <f>AV18*AW18</f>
        <v/>
      </c>
      <c r="AY18">
        <f>IFERROR(BA18/AZ18,0)</f>
        <v/>
      </c>
      <c r="AZ18">
        <f>SUM(P18,S18,V18,Y18,AB18,AE18,AH18,AK18,AN18,AQ18,AT18,AW18)</f>
        <v/>
      </c>
      <c r="BA18">
        <f>SUM(Q18,T18,W18,Z18,AC18,AF18,AI18,AL18,AO18,AR18,AU18,AX18)</f>
        <v/>
      </c>
      <c r="BB18">
        <f>AY18-L18</f>
        <v/>
      </c>
      <c r="BC18">
        <f>IFERROR(BB18/L18,0)</f>
        <v/>
      </c>
      <c r="BF18">
        <f>VLOOKUP("대리점"&amp;J18,인자!A:D,4,0)</f>
        <v/>
      </c>
    </row>
    <row r="19">
      <c r="A19" t="inlineStr">
        <is>
          <t>차량 영업부문</t>
        </is>
      </c>
      <c r="B19" t="inlineStr">
        <is>
          <t>차량 대리점</t>
        </is>
      </c>
      <c r="C19">
        <f>D19&amp;J19</f>
        <v/>
      </c>
      <c r="D19" t="n">
        <v>9036529</v>
      </c>
      <c r="E19" t="inlineStr">
        <is>
          <t>새한전자D</t>
        </is>
      </c>
      <c r="F19" t="n">
        <v>9036529</v>
      </c>
      <c r="G19" t="inlineStr">
        <is>
          <t>새한전자D</t>
        </is>
      </c>
      <c r="H19" t="inlineStr">
        <is>
          <t>신태양</t>
        </is>
      </c>
      <c r="I19" t="inlineStr">
        <is>
          <t>창원</t>
        </is>
      </c>
      <c r="J19" t="inlineStr">
        <is>
          <t>AGM 3세대</t>
        </is>
      </c>
      <c r="L19" t="n">
        <v>111464.47</v>
      </c>
      <c r="M19" t="n">
        <v>4698</v>
      </c>
      <c r="N19">
        <f>L19*M19</f>
        <v/>
      </c>
      <c r="O19" t="n">
        <v>108542.12</v>
      </c>
      <c r="P19" t="n">
        <v>5554</v>
      </c>
      <c r="Q19">
        <f>O19*P19</f>
        <v/>
      </c>
      <c r="R19" t="n">
        <v>112615.83</v>
      </c>
      <c r="S19" t="n">
        <v>5014</v>
      </c>
      <c r="T19">
        <f>R19*S19</f>
        <v/>
      </c>
      <c r="U19" t="n">
        <v>102240.02</v>
      </c>
      <c r="V19" t="n">
        <v>4160</v>
      </c>
      <c r="W19">
        <f>U19*V19</f>
        <v/>
      </c>
      <c r="X19" t="n">
        <v>122601.89</v>
      </c>
      <c r="Y19" t="n">
        <v>5315</v>
      </c>
      <c r="Z19">
        <f>X19*Y19</f>
        <v/>
      </c>
      <c r="AA19" t="n">
        <v>112037.3</v>
      </c>
      <c r="AB19" t="n">
        <v>5457</v>
      </c>
      <c r="AC19">
        <f>AA19*AB19</f>
        <v/>
      </c>
      <c r="AD19" t="n">
        <v>118672.64</v>
      </c>
      <c r="AE19" t="n">
        <v>3496</v>
      </c>
      <c r="AF19">
        <f>AD19*AE19</f>
        <v/>
      </c>
      <c r="AG19" t="n">
        <v>121995.18</v>
      </c>
      <c r="AH19" t="n">
        <v>5099</v>
      </c>
      <c r="AI19">
        <f>AG19*AH19</f>
        <v/>
      </c>
      <c r="AJ19" t="n">
        <v>110349.26</v>
      </c>
      <c r="AK19" t="n">
        <v>5206</v>
      </c>
      <c r="AL19">
        <f>AJ19*AK19</f>
        <v/>
      </c>
      <c r="AM19" t="n">
        <v>107998.25</v>
      </c>
      <c r="AN19" t="n">
        <v>5763</v>
      </c>
      <c r="AO19">
        <f>AM19*AN19</f>
        <v/>
      </c>
      <c r="AP19" t="n">
        <v>117712.34</v>
      </c>
      <c r="AQ19" t="n">
        <v>5092</v>
      </c>
      <c r="AR19">
        <f>AP19*AQ19</f>
        <v/>
      </c>
      <c r="AS19" t="n">
        <v>104374.51</v>
      </c>
      <c r="AT19" t="n">
        <v>6012</v>
      </c>
      <c r="AU19">
        <f>AS19*AT19</f>
        <v/>
      </c>
      <c r="AV19" t="n">
        <v>109962.34</v>
      </c>
      <c r="AW19" t="n">
        <v>5856</v>
      </c>
      <c r="AX19">
        <f>AV19*AW19</f>
        <v/>
      </c>
      <c r="AY19">
        <f>IFERROR(BA19/AZ19,0)</f>
        <v/>
      </c>
      <c r="AZ19">
        <f>SUM(P19,S19,V19,Y19,AB19,AE19,AH19,AK19,AN19,AQ19,AT19,AW19)</f>
        <v/>
      </c>
      <c r="BA19">
        <f>SUM(Q19,T19,W19,Z19,AC19,AF19,AI19,AL19,AO19,AR19,AU19,AX19)</f>
        <v/>
      </c>
      <c r="BB19">
        <f>AY19-L19</f>
        <v/>
      </c>
      <c r="BC19">
        <f>IFERROR(BB19/L19,0)</f>
        <v/>
      </c>
      <c r="BF19">
        <f>VLOOKUP("대리점"&amp;J19,인자!A:D,4,0)</f>
        <v/>
      </c>
    </row>
    <row r="20">
      <c r="A20" t="inlineStr">
        <is>
          <t>차량 영업부문</t>
        </is>
      </c>
      <c r="B20" t="inlineStr">
        <is>
          <t>차량 대리점</t>
        </is>
      </c>
      <c r="C20">
        <f>D20&amp;J20</f>
        <v/>
      </c>
      <c r="D20" t="n">
        <v>9018048</v>
      </c>
      <c r="E20" t="inlineStr">
        <is>
          <t>동해파워A</t>
        </is>
      </c>
      <c r="F20" t="n">
        <v>9018048</v>
      </c>
      <c r="G20" t="inlineStr">
        <is>
          <t>동해파워A</t>
        </is>
      </c>
      <c r="H20" t="inlineStr">
        <is>
          <t>권나윤</t>
        </is>
      </c>
      <c r="I20" t="inlineStr">
        <is>
          <t>광주</t>
        </is>
      </c>
      <c r="J20" t="inlineStr">
        <is>
          <t>이륜용 상품</t>
        </is>
      </c>
      <c r="L20" t="n">
        <v>50139.56</v>
      </c>
      <c r="M20" t="n">
        <v>1358</v>
      </c>
      <c r="N20">
        <f>L20*M20</f>
        <v/>
      </c>
      <c r="O20" t="n">
        <v>46749.79</v>
      </c>
      <c r="P20" t="n">
        <v>1712</v>
      </c>
      <c r="Q20">
        <f>O20*P20</f>
        <v/>
      </c>
      <c r="R20" t="n">
        <v>47386.6</v>
      </c>
      <c r="S20" t="n">
        <v>1723</v>
      </c>
      <c r="T20">
        <f>R20*S20</f>
        <v/>
      </c>
      <c r="U20" t="n">
        <v>50329.07</v>
      </c>
      <c r="V20" t="n">
        <v>1182</v>
      </c>
      <c r="W20">
        <f>U20*V20</f>
        <v/>
      </c>
      <c r="X20" t="n">
        <v>45916.4</v>
      </c>
      <c r="Y20" t="n">
        <v>1111</v>
      </c>
      <c r="Z20">
        <f>X20*Y20</f>
        <v/>
      </c>
      <c r="AA20" t="n">
        <v>54715.81</v>
      </c>
      <c r="AB20" t="n">
        <v>1174</v>
      </c>
      <c r="AC20">
        <f>AA20*AB20</f>
        <v/>
      </c>
      <c r="AD20" t="n">
        <v>51393.27</v>
      </c>
      <c r="AE20" t="n">
        <v>1451</v>
      </c>
      <c r="AF20">
        <f>AD20*AE20</f>
        <v/>
      </c>
      <c r="AG20" t="n">
        <v>46062.5</v>
      </c>
      <c r="AH20" t="n">
        <v>1473</v>
      </c>
      <c r="AI20">
        <f>AG20*AH20</f>
        <v/>
      </c>
      <c r="AJ20" t="n">
        <v>51060.21</v>
      </c>
      <c r="AK20" t="n">
        <v>1424</v>
      </c>
      <c r="AL20">
        <f>AJ20*AK20</f>
        <v/>
      </c>
      <c r="AM20" t="n">
        <v>46842.39</v>
      </c>
      <c r="AN20" t="n">
        <v>1459</v>
      </c>
      <c r="AO20">
        <f>AM20*AN20</f>
        <v/>
      </c>
      <c r="AP20" t="n">
        <v>54170.79</v>
      </c>
      <c r="AQ20" t="n">
        <v>1226</v>
      </c>
      <c r="AR20">
        <f>AP20*AQ20</f>
        <v/>
      </c>
      <c r="AS20" t="n">
        <v>54390.69</v>
      </c>
      <c r="AT20" t="n">
        <v>984</v>
      </c>
      <c r="AU20">
        <f>AS20*AT20</f>
        <v/>
      </c>
      <c r="AV20" t="n">
        <v>53787.53</v>
      </c>
      <c r="AW20" t="n">
        <v>1017</v>
      </c>
      <c r="AX20">
        <f>AV20*AW20</f>
        <v/>
      </c>
      <c r="AY20">
        <f>IFERROR(BA20/AZ20,0)</f>
        <v/>
      </c>
      <c r="AZ20">
        <f>SUM(P20,S20,V20,Y20,AB20,AE20,AH20,AK20,AN20,AQ20,AT20,AW20)</f>
        <v/>
      </c>
      <c r="BA20">
        <f>SUM(Q20,T20,W20,Z20,AC20,AF20,AI20,AL20,AO20,AR20,AU20,AX20)</f>
        <v/>
      </c>
      <c r="BB20">
        <f>AY20-L20</f>
        <v/>
      </c>
      <c r="BC20">
        <f>IFERROR(BB20/L20,0)</f>
        <v/>
      </c>
      <c r="BF20">
        <f>VLOOKUP("대리점"&amp;J20,인자!A:D,4,0)</f>
        <v/>
      </c>
    </row>
    <row r="21">
      <c r="A21" t="inlineStr">
        <is>
          <t>차량 영업부문</t>
        </is>
      </c>
      <c r="B21" t="inlineStr">
        <is>
          <t>차량 대리점</t>
        </is>
      </c>
      <c r="C21">
        <f>D21&amp;J21</f>
        <v/>
      </c>
      <c r="D21" t="n">
        <v>9014870</v>
      </c>
      <c r="E21" t="inlineStr">
        <is>
          <t>한빛파워E</t>
        </is>
      </c>
      <c r="F21" t="n">
        <v>9014870</v>
      </c>
      <c r="G21" t="inlineStr">
        <is>
          <t>한빛파워E</t>
        </is>
      </c>
      <c r="H21" t="inlineStr">
        <is>
          <t>한지호</t>
        </is>
      </c>
      <c r="I21" t="inlineStr">
        <is>
          <t>광주</t>
        </is>
      </c>
      <c r="J21" t="inlineStr">
        <is>
          <t>MF 대형 EXP</t>
        </is>
      </c>
      <c r="L21" t="n">
        <v>173780.47</v>
      </c>
      <c r="M21" t="n">
        <v>258</v>
      </c>
      <c r="N21">
        <f>L21*M21</f>
        <v/>
      </c>
      <c r="O21" t="n">
        <v>173712.28</v>
      </c>
      <c r="P21" t="n">
        <v>278</v>
      </c>
      <c r="Q21">
        <f>O21*P21</f>
        <v/>
      </c>
      <c r="R21" t="n">
        <v>166470.28</v>
      </c>
      <c r="S21" t="n">
        <v>329</v>
      </c>
      <c r="T21">
        <f>R21*S21</f>
        <v/>
      </c>
      <c r="U21" t="n">
        <v>173187.7</v>
      </c>
      <c r="V21" t="n">
        <v>305</v>
      </c>
      <c r="W21">
        <f>U21*V21</f>
        <v/>
      </c>
      <c r="X21" t="n">
        <v>180210.03</v>
      </c>
      <c r="Y21" t="n">
        <v>227</v>
      </c>
      <c r="Z21">
        <f>X21*Y21</f>
        <v/>
      </c>
      <c r="AA21" t="n">
        <v>158938.68</v>
      </c>
      <c r="AB21" t="n">
        <v>190</v>
      </c>
      <c r="AC21">
        <f>AA21*AB21</f>
        <v/>
      </c>
      <c r="AD21" t="n">
        <v>171681.39</v>
      </c>
      <c r="AE21" t="n">
        <v>256</v>
      </c>
      <c r="AF21">
        <f>AD21*AE21</f>
        <v/>
      </c>
      <c r="AG21" t="n">
        <v>163493.47</v>
      </c>
      <c r="AH21" t="n">
        <v>275</v>
      </c>
      <c r="AI21">
        <f>AG21*AH21</f>
        <v/>
      </c>
      <c r="AJ21" t="n">
        <v>167266.57</v>
      </c>
      <c r="AK21" t="n">
        <v>292</v>
      </c>
      <c r="AL21">
        <f>AJ21*AK21</f>
        <v/>
      </c>
      <c r="AM21" t="n">
        <v>181920.34</v>
      </c>
      <c r="AN21" t="n">
        <v>314</v>
      </c>
      <c r="AO21">
        <f>AM21*AN21</f>
        <v/>
      </c>
      <c r="AP21" t="n">
        <v>190302.62</v>
      </c>
      <c r="AQ21" t="n">
        <v>201</v>
      </c>
      <c r="AR21">
        <f>AP21*AQ21</f>
        <v/>
      </c>
      <c r="AS21" t="n">
        <v>169280.95</v>
      </c>
      <c r="AT21" t="n">
        <v>268</v>
      </c>
      <c r="AU21">
        <f>AS21*AT21</f>
        <v/>
      </c>
      <c r="AV21" t="n">
        <v>167493.64</v>
      </c>
      <c r="AW21" t="n">
        <v>253</v>
      </c>
      <c r="AX21">
        <f>AV21*AW21</f>
        <v/>
      </c>
      <c r="AY21">
        <f>IFERROR(BA21/AZ21,0)</f>
        <v/>
      </c>
      <c r="AZ21">
        <f>SUM(P21,S21,V21,Y21,AB21,AE21,AH21,AK21,AN21,AQ21,AT21,AW21)</f>
        <v/>
      </c>
      <c r="BA21">
        <f>SUM(Q21,T21,W21,Z21,AC21,AF21,AI21,AL21,AO21,AR21,AU21,AX21)</f>
        <v/>
      </c>
      <c r="BB21">
        <f>AY21-L21</f>
        <v/>
      </c>
      <c r="BC21">
        <f>IFERROR(BB21/L21,0)</f>
        <v/>
      </c>
      <c r="BF21">
        <f>VLOOKUP("대리점"&amp;J21,인자!A:D,4,0)</f>
        <v/>
      </c>
    </row>
    <row r="22">
      <c r="A22" t="inlineStr">
        <is>
          <t>차량 영업부문</t>
        </is>
      </c>
      <c r="B22" t="inlineStr">
        <is>
          <t>차량 대리점</t>
        </is>
      </c>
      <c r="C22">
        <f>D22&amp;J22</f>
        <v/>
      </c>
      <c r="D22" t="n">
        <v>9014870</v>
      </c>
      <c r="E22" t="inlineStr">
        <is>
          <t>한빛파워E</t>
        </is>
      </c>
      <c r="F22" t="n">
        <v>9014870</v>
      </c>
      <c r="G22" t="inlineStr">
        <is>
          <t>한빛파워E</t>
        </is>
      </c>
      <c r="H22" t="inlineStr">
        <is>
          <t>윤재원</t>
        </is>
      </c>
      <c r="I22" t="inlineStr">
        <is>
          <t>광주</t>
        </is>
      </c>
      <c r="J22" t="inlineStr">
        <is>
          <t>MF 농기계</t>
        </is>
      </c>
      <c r="L22" t="n">
        <v>33559.44</v>
      </c>
      <c r="M22" t="n">
        <v>2387</v>
      </c>
      <c r="N22">
        <f>L22*M22</f>
        <v/>
      </c>
      <c r="O22" t="n">
        <v>36548.81</v>
      </c>
      <c r="P22" t="n">
        <v>2909</v>
      </c>
      <c r="Q22">
        <f>O22*P22</f>
        <v/>
      </c>
      <c r="R22" t="n">
        <v>33009.97</v>
      </c>
      <c r="S22" t="n">
        <v>3050</v>
      </c>
      <c r="T22">
        <f>R22*S22</f>
        <v/>
      </c>
      <c r="U22" t="n">
        <v>36259.71</v>
      </c>
      <c r="V22" t="n">
        <v>2836</v>
      </c>
      <c r="W22">
        <f>U22*V22</f>
        <v/>
      </c>
      <c r="X22" t="n">
        <v>36470.73</v>
      </c>
      <c r="Y22" t="n">
        <v>2704</v>
      </c>
      <c r="Z22">
        <f>X22*Y22</f>
        <v/>
      </c>
      <c r="AA22" t="n">
        <v>31477.64</v>
      </c>
      <c r="AB22" t="n">
        <v>1899</v>
      </c>
      <c r="AC22">
        <f>AA22*AB22</f>
        <v/>
      </c>
      <c r="AD22" t="n">
        <v>36888.33</v>
      </c>
      <c r="AE22" t="n">
        <v>2339</v>
      </c>
      <c r="AF22">
        <f>AD22*AE22</f>
        <v/>
      </c>
      <c r="AG22" t="n">
        <v>36103.75</v>
      </c>
      <c r="AH22" t="n">
        <v>2383</v>
      </c>
      <c r="AI22">
        <f>AG22*AH22</f>
        <v/>
      </c>
      <c r="AJ22" t="n">
        <v>30807.9</v>
      </c>
      <c r="AK22" t="n">
        <v>2234</v>
      </c>
      <c r="AL22">
        <f>AJ22*AK22</f>
        <v/>
      </c>
      <c r="AM22" t="n">
        <v>33272.38</v>
      </c>
      <c r="AN22" t="n">
        <v>2016</v>
      </c>
      <c r="AO22">
        <f>AM22*AN22</f>
        <v/>
      </c>
      <c r="AP22" t="n">
        <v>34118.84</v>
      </c>
      <c r="AQ22" t="n">
        <v>1741</v>
      </c>
      <c r="AR22">
        <f>AP22*AQ22</f>
        <v/>
      </c>
      <c r="AS22" t="n">
        <v>32091.93</v>
      </c>
      <c r="AT22" t="n">
        <v>2527</v>
      </c>
      <c r="AU22">
        <f>AS22*AT22</f>
        <v/>
      </c>
      <c r="AV22" t="n">
        <v>35860.61</v>
      </c>
      <c r="AW22" t="n">
        <v>2634</v>
      </c>
      <c r="AX22">
        <f>AV22*AW22</f>
        <v/>
      </c>
      <c r="AY22">
        <f>IFERROR(BA22/AZ22,0)</f>
        <v/>
      </c>
      <c r="AZ22">
        <f>SUM(P22,S22,V22,Y22,AB22,AE22,AH22,AK22,AN22,AQ22,AT22,AW22)</f>
        <v/>
      </c>
      <c r="BA22">
        <f>SUM(Q22,T22,W22,Z22,AC22,AF22,AI22,AL22,AO22,AR22,AU22,AX22)</f>
        <v/>
      </c>
      <c r="BB22">
        <f>AY22-L22</f>
        <v/>
      </c>
      <c r="BC22">
        <f>IFERROR(BB22/L22,0)</f>
        <v/>
      </c>
      <c r="BF22">
        <f>VLOOKUP("대리점"&amp;J22,인자!A:D,4,0)</f>
        <v/>
      </c>
    </row>
    <row r="23">
      <c r="A23" t="inlineStr">
        <is>
          <t>차량 영업부문</t>
        </is>
      </c>
      <c r="B23" t="inlineStr">
        <is>
          <t>차량 대리점</t>
        </is>
      </c>
      <c r="C23">
        <f>D23&amp;J23</f>
        <v/>
      </c>
      <c r="D23" t="n">
        <v>9014870</v>
      </c>
      <c r="E23" t="inlineStr">
        <is>
          <t>한빛파워E</t>
        </is>
      </c>
      <c r="F23" t="n">
        <v>9014870</v>
      </c>
      <c r="G23" t="inlineStr">
        <is>
          <t>한빛파워E</t>
        </is>
      </c>
      <c r="H23" t="inlineStr">
        <is>
          <t>장수아</t>
        </is>
      </c>
      <c r="I23" t="inlineStr">
        <is>
          <t>광주</t>
        </is>
      </c>
      <c r="J23" t="inlineStr">
        <is>
          <t>차량용 대형 EXP</t>
        </is>
      </c>
      <c r="L23" t="n">
        <v>36711.64</v>
      </c>
      <c r="M23" t="n">
        <v>1107</v>
      </c>
      <c r="N23">
        <f>L23*M23</f>
        <v/>
      </c>
      <c r="O23" t="n">
        <v>39519.76</v>
      </c>
      <c r="P23" t="n">
        <v>1258</v>
      </c>
      <c r="Q23">
        <f>O23*P23</f>
        <v/>
      </c>
      <c r="R23" t="n">
        <v>38648.96</v>
      </c>
      <c r="S23" t="n">
        <v>1018</v>
      </c>
      <c r="T23">
        <f>R23*S23</f>
        <v/>
      </c>
      <c r="U23" t="n">
        <v>35981.68</v>
      </c>
      <c r="V23" t="n">
        <v>1154</v>
      </c>
      <c r="W23">
        <f>U23*V23</f>
        <v/>
      </c>
      <c r="X23" t="n">
        <v>34469.7</v>
      </c>
      <c r="Y23" t="n">
        <v>1142</v>
      </c>
      <c r="Z23">
        <f>X23*Y23</f>
        <v/>
      </c>
      <c r="AA23" t="n">
        <v>33580.37</v>
      </c>
      <c r="AB23" t="n">
        <v>1110</v>
      </c>
      <c r="AC23">
        <f>AA23*AB23</f>
        <v/>
      </c>
      <c r="AD23" t="n">
        <v>38652.98</v>
      </c>
      <c r="AE23" t="n">
        <v>961</v>
      </c>
      <c r="AF23">
        <f>AD23*AE23</f>
        <v/>
      </c>
      <c r="AG23" t="n">
        <v>40302.7</v>
      </c>
      <c r="AH23" t="n">
        <v>1227</v>
      </c>
      <c r="AI23">
        <f>AG23*AH23</f>
        <v/>
      </c>
      <c r="AJ23" t="n">
        <v>33912.83</v>
      </c>
      <c r="AK23" t="n">
        <v>1423</v>
      </c>
      <c r="AL23">
        <f>AJ23*AK23</f>
        <v/>
      </c>
      <c r="AM23" t="n">
        <v>35932.65</v>
      </c>
      <c r="AN23" t="n">
        <v>1303</v>
      </c>
      <c r="AO23">
        <f>AM23*AN23</f>
        <v/>
      </c>
      <c r="AP23" t="n">
        <v>35530.15</v>
      </c>
      <c r="AQ23" t="n">
        <v>1399</v>
      </c>
      <c r="AR23">
        <f>AP23*AQ23</f>
        <v/>
      </c>
      <c r="AS23" t="n">
        <v>38583.68</v>
      </c>
      <c r="AT23" t="n">
        <v>907</v>
      </c>
      <c r="AU23">
        <f>AS23*AT23</f>
        <v/>
      </c>
      <c r="AV23" t="n">
        <v>36778.62</v>
      </c>
      <c r="AW23" t="n">
        <v>1107</v>
      </c>
      <c r="AX23">
        <f>AV23*AW23</f>
        <v/>
      </c>
      <c r="AY23">
        <f>IFERROR(BA23/AZ23,0)</f>
        <v/>
      </c>
      <c r="AZ23">
        <f>SUM(P23,S23,V23,Y23,AB23,AE23,AH23,AK23,AN23,AQ23,AT23,AW23)</f>
        <v/>
      </c>
      <c r="BA23">
        <f>SUM(Q23,T23,W23,Z23,AC23,AF23,AI23,AL23,AO23,AR23,AU23,AX23)</f>
        <v/>
      </c>
      <c r="BB23">
        <f>AY23-L23</f>
        <v/>
      </c>
      <c r="BC23">
        <f>IFERROR(BB23/L23,0)</f>
        <v/>
      </c>
      <c r="BF23">
        <f>VLOOKUP("대리점"&amp;J23,인자!A:D,4,0)</f>
        <v/>
      </c>
    </row>
    <row r="24">
      <c r="A24" t="inlineStr">
        <is>
          <t>차량 영업부문</t>
        </is>
      </c>
      <c r="B24" t="inlineStr">
        <is>
          <t>차량 대리점</t>
        </is>
      </c>
      <c r="C24">
        <f>D24&amp;J24</f>
        <v/>
      </c>
      <c r="D24" t="n">
        <v>9018048</v>
      </c>
      <c r="E24" t="inlineStr">
        <is>
          <t>동해파워A</t>
        </is>
      </c>
      <c r="F24" t="n">
        <v>9018048</v>
      </c>
      <c r="G24" t="inlineStr">
        <is>
          <t>동해파워A</t>
        </is>
      </c>
      <c r="H24" t="inlineStr">
        <is>
          <t>김민준</t>
        </is>
      </c>
      <c r="I24" t="inlineStr">
        <is>
          <t>광주</t>
        </is>
      </c>
      <c r="J24" t="inlineStr">
        <is>
          <t>차량용 중형 PH</t>
        </is>
      </c>
      <c r="L24" t="n">
        <v>103247.01</v>
      </c>
      <c r="M24" t="n">
        <v>3890</v>
      </c>
      <c r="N24">
        <f>L24*M24</f>
        <v/>
      </c>
      <c r="O24" t="n">
        <v>103646.22</v>
      </c>
      <c r="P24" t="n">
        <v>3071</v>
      </c>
      <c r="Q24">
        <f>O24*P24</f>
        <v/>
      </c>
      <c r="R24" t="n">
        <v>111364.94</v>
      </c>
      <c r="S24" t="n">
        <v>3049</v>
      </c>
      <c r="T24">
        <f>R24*S24</f>
        <v/>
      </c>
      <c r="U24" t="n">
        <v>112154.52</v>
      </c>
      <c r="V24" t="n">
        <v>3466</v>
      </c>
      <c r="W24">
        <f>U24*V24</f>
        <v/>
      </c>
      <c r="X24" t="n">
        <v>101036.59</v>
      </c>
      <c r="Y24" t="n">
        <v>4162</v>
      </c>
      <c r="Z24">
        <f>X24*Y24</f>
        <v/>
      </c>
      <c r="AA24" t="n">
        <v>110321.53</v>
      </c>
      <c r="AB24" t="n">
        <v>4109</v>
      </c>
      <c r="AC24">
        <f>AA24*AB24</f>
        <v/>
      </c>
      <c r="AD24" t="n">
        <v>103398.06</v>
      </c>
      <c r="AE24" t="n">
        <v>3913</v>
      </c>
      <c r="AF24">
        <f>AD24*AE24</f>
        <v/>
      </c>
      <c r="AG24" t="n">
        <v>103037.35</v>
      </c>
      <c r="AH24" t="n">
        <v>4037</v>
      </c>
      <c r="AI24">
        <f>AG24*AH24</f>
        <v/>
      </c>
      <c r="AJ24" t="n">
        <v>102728.56</v>
      </c>
      <c r="AK24" t="n">
        <v>2762</v>
      </c>
      <c r="AL24">
        <f>AJ24*AK24</f>
        <v/>
      </c>
      <c r="AM24" t="n">
        <v>99762.21000000001</v>
      </c>
      <c r="AN24" t="n">
        <v>2979</v>
      </c>
      <c r="AO24">
        <f>AM24*AN24</f>
        <v/>
      </c>
      <c r="AP24" t="n">
        <v>101523.62</v>
      </c>
      <c r="AQ24" t="n">
        <v>3441</v>
      </c>
      <c r="AR24">
        <f>AP24*AQ24</f>
        <v/>
      </c>
      <c r="AS24" t="n">
        <v>111481.31</v>
      </c>
      <c r="AT24" t="n">
        <v>4758</v>
      </c>
      <c r="AU24">
        <f>AS24*AT24</f>
        <v/>
      </c>
      <c r="AV24" t="n">
        <v>105916.16</v>
      </c>
      <c r="AW24" t="n">
        <v>4116</v>
      </c>
      <c r="AX24">
        <f>AV24*AW24</f>
        <v/>
      </c>
      <c r="AY24">
        <f>IFERROR(BA24/AZ24,0)</f>
        <v/>
      </c>
      <c r="AZ24">
        <f>SUM(P24,S24,V24,Y24,AB24,AE24,AH24,AK24,AN24,AQ24,AT24,AW24)</f>
        <v/>
      </c>
      <c r="BA24">
        <f>SUM(Q24,T24,W24,Z24,AC24,AF24,AI24,AL24,AO24,AR24,AU24,AX24)</f>
        <v/>
      </c>
      <c r="BB24">
        <f>AY24-L24</f>
        <v/>
      </c>
      <c r="BC24">
        <f>IFERROR(BB24/L24,0)</f>
        <v/>
      </c>
      <c r="BF24">
        <f>VLOOKUP("대리점"&amp;J24,인자!A:D,4,0)</f>
        <v/>
      </c>
    </row>
    <row r="25">
      <c r="A25" t="inlineStr">
        <is>
          <t>차량 영업부문</t>
        </is>
      </c>
      <c r="B25" t="inlineStr">
        <is>
          <t>차량 대리점</t>
        </is>
      </c>
      <c r="C25">
        <f>D25&amp;J25</f>
        <v/>
      </c>
      <c r="D25" t="n">
        <v>9014870</v>
      </c>
      <c r="E25" t="inlineStr">
        <is>
          <t>한빛파워E</t>
        </is>
      </c>
      <c r="F25" t="n">
        <v>9014870</v>
      </c>
      <c r="G25" t="inlineStr">
        <is>
          <t>한빛파워E</t>
        </is>
      </c>
      <c r="H25" t="inlineStr">
        <is>
          <t>한지호</t>
        </is>
      </c>
      <c r="I25" t="inlineStr">
        <is>
          <t>광주</t>
        </is>
      </c>
      <c r="J25" t="inlineStr">
        <is>
          <t>차량용 중형 PH</t>
        </is>
      </c>
      <c r="L25" t="n">
        <v>20149.77</v>
      </c>
      <c r="M25" t="n">
        <v>3945</v>
      </c>
      <c r="N25">
        <f>L25*M25</f>
        <v/>
      </c>
      <c r="O25" t="n">
        <v>18821.95</v>
      </c>
      <c r="P25" t="n">
        <v>4250</v>
      </c>
      <c r="Q25">
        <f>O25*P25</f>
        <v/>
      </c>
      <c r="R25" t="n">
        <v>20632.3</v>
      </c>
      <c r="S25" t="n">
        <v>4753</v>
      </c>
      <c r="T25">
        <f>R25*S25</f>
        <v/>
      </c>
      <c r="U25" t="n">
        <v>18730.32</v>
      </c>
      <c r="V25" t="n">
        <v>4373</v>
      </c>
      <c r="W25">
        <f>U25*V25</f>
        <v/>
      </c>
      <c r="X25" t="n">
        <v>18262.02</v>
      </c>
      <c r="Y25" t="n">
        <v>5006</v>
      </c>
      <c r="Z25">
        <f>X25*Y25</f>
        <v/>
      </c>
      <c r="AA25" t="n">
        <v>18577.67</v>
      </c>
      <c r="AB25" t="n">
        <v>2806</v>
      </c>
      <c r="AC25">
        <f>AA25*AB25</f>
        <v/>
      </c>
      <c r="AD25" t="n">
        <v>19398.96</v>
      </c>
      <c r="AE25" t="n">
        <v>3120</v>
      </c>
      <c r="AF25">
        <f>AD25*AE25</f>
        <v/>
      </c>
      <c r="AG25" t="n">
        <v>20917.48</v>
      </c>
      <c r="AH25" t="n">
        <v>3733</v>
      </c>
      <c r="AI25">
        <f>AG25*AH25</f>
        <v/>
      </c>
      <c r="AJ25" t="n">
        <v>21257.9</v>
      </c>
      <c r="AK25" t="n">
        <v>4940</v>
      </c>
      <c r="AL25">
        <f>AJ25*AK25</f>
        <v/>
      </c>
      <c r="AM25" t="n">
        <v>21652.21</v>
      </c>
      <c r="AN25" t="n">
        <v>4503</v>
      </c>
      <c r="AO25">
        <f>AM25*AN25</f>
        <v/>
      </c>
      <c r="AP25" t="n">
        <v>18385.78</v>
      </c>
      <c r="AQ25" t="n">
        <v>3088</v>
      </c>
      <c r="AR25">
        <f>AP25*AQ25</f>
        <v/>
      </c>
      <c r="AS25" t="n">
        <v>18970.37</v>
      </c>
      <c r="AT25" t="n">
        <v>3531</v>
      </c>
      <c r="AU25">
        <f>AS25*AT25</f>
        <v/>
      </c>
      <c r="AV25" t="n">
        <v>20803.54</v>
      </c>
      <c r="AW25" t="n">
        <v>4005</v>
      </c>
      <c r="AX25">
        <f>AV25*AW25</f>
        <v/>
      </c>
      <c r="AY25">
        <f>IFERROR(BA25/AZ25,0)</f>
        <v/>
      </c>
      <c r="AZ25">
        <f>SUM(P25,S25,V25,Y25,AB25,AE25,AH25,AK25,AN25,AQ25,AT25,AW25)</f>
        <v/>
      </c>
      <c r="BA25">
        <f>SUM(Q25,T25,W25,Z25,AC25,AF25,AI25,AL25,AO25,AR25,AU25,AX25)</f>
        <v/>
      </c>
      <c r="BB25">
        <f>AY25-L25</f>
        <v/>
      </c>
      <c r="BC25">
        <f>IFERROR(BB25/L25,0)</f>
        <v/>
      </c>
      <c r="BF25">
        <f>VLOOKUP("대리점"&amp;J25,인자!A:D,4,0)</f>
        <v/>
      </c>
    </row>
    <row r="26">
      <c r="A26" t="inlineStr">
        <is>
          <t>차량 영업부문</t>
        </is>
      </c>
      <c r="B26" t="inlineStr">
        <is>
          <t>차량 대리점</t>
        </is>
      </c>
      <c r="C26">
        <f>D26&amp;J26</f>
        <v/>
      </c>
      <c r="D26" t="n">
        <v>9096427</v>
      </c>
      <c r="E26" t="inlineStr">
        <is>
          <t>가상상사F</t>
        </is>
      </c>
      <c r="F26" t="n">
        <v>9096427</v>
      </c>
      <c r="G26" t="inlineStr">
        <is>
          <t>가상상사F</t>
        </is>
      </c>
      <c r="H26" t="inlineStr">
        <is>
          <t>박도윤</t>
        </is>
      </c>
      <c r="I26" t="inlineStr">
        <is>
          <t>창원</t>
        </is>
      </c>
      <c r="J26" t="inlineStr">
        <is>
          <t>차량용 대형 PH</t>
        </is>
      </c>
      <c r="L26" t="n">
        <v>162272.48</v>
      </c>
      <c r="M26" t="n">
        <v>4485</v>
      </c>
      <c r="N26">
        <f>L26*M26</f>
        <v/>
      </c>
      <c r="O26" t="n">
        <v>157543.44</v>
      </c>
      <c r="P26" t="n">
        <v>5217</v>
      </c>
      <c r="Q26">
        <f>O26*P26</f>
        <v/>
      </c>
      <c r="R26" t="n">
        <v>169442.48</v>
      </c>
      <c r="S26" t="n">
        <v>4871</v>
      </c>
      <c r="T26">
        <f>R26*S26</f>
        <v/>
      </c>
      <c r="U26" t="n">
        <v>168546.37</v>
      </c>
      <c r="V26" t="n">
        <v>4781</v>
      </c>
      <c r="W26">
        <f>U26*V26</f>
        <v/>
      </c>
      <c r="X26" t="n">
        <v>152285.07</v>
      </c>
      <c r="Y26" t="n">
        <v>3803</v>
      </c>
      <c r="Z26">
        <f>X26*Y26</f>
        <v/>
      </c>
      <c r="AA26" t="n">
        <v>164157.65</v>
      </c>
      <c r="AB26" t="n">
        <v>3745</v>
      </c>
      <c r="AC26">
        <f>AA26*AB26</f>
        <v/>
      </c>
      <c r="AD26" t="n">
        <v>177620.56</v>
      </c>
      <c r="AE26" t="n">
        <v>3940</v>
      </c>
      <c r="AF26">
        <f>AD26*AE26</f>
        <v/>
      </c>
      <c r="AG26" t="n">
        <v>155424.72</v>
      </c>
      <c r="AH26" t="n">
        <v>3697</v>
      </c>
      <c r="AI26">
        <f>AG26*AH26</f>
        <v/>
      </c>
      <c r="AJ26" t="n">
        <v>168925.27</v>
      </c>
      <c r="AK26" t="n">
        <v>3993</v>
      </c>
      <c r="AL26">
        <f>AJ26*AK26</f>
        <v/>
      </c>
      <c r="AM26" t="n">
        <v>157365.46</v>
      </c>
      <c r="AN26" t="n">
        <v>5652</v>
      </c>
      <c r="AO26">
        <f>AM26*AN26</f>
        <v/>
      </c>
      <c r="AP26" t="n">
        <v>171859.71</v>
      </c>
      <c r="AQ26" t="n">
        <v>3875</v>
      </c>
      <c r="AR26">
        <f>AP26*AQ26</f>
        <v/>
      </c>
      <c r="AS26" t="n">
        <v>150000.59</v>
      </c>
      <c r="AT26" t="n">
        <v>4960</v>
      </c>
      <c r="AU26">
        <f>AS26*AT26</f>
        <v/>
      </c>
      <c r="AV26" t="n">
        <v>158368.02</v>
      </c>
      <c r="AW26" t="n">
        <v>5777</v>
      </c>
      <c r="AX26">
        <f>AV26*AW26</f>
        <v/>
      </c>
      <c r="AY26">
        <f>IFERROR(BA26/AZ26,0)</f>
        <v/>
      </c>
      <c r="AZ26">
        <f>SUM(P26,S26,V26,Y26,AB26,AE26,AH26,AK26,AN26,AQ26,AT26,AW26)</f>
        <v/>
      </c>
      <c r="BA26">
        <f>SUM(Q26,T26,W26,Z26,AC26,AF26,AI26,AL26,AO26,AR26,AU26,AX26)</f>
        <v/>
      </c>
      <c r="BB26">
        <f>AY26-L26</f>
        <v/>
      </c>
      <c r="BC26">
        <f>IFERROR(BB26/L26,0)</f>
        <v/>
      </c>
      <c r="BF26">
        <f>VLOOKUP("대리점"&amp;J26,인자!A:D,4,0)</f>
        <v/>
      </c>
    </row>
    <row r="27">
      <c r="A27" t="inlineStr">
        <is>
          <t>차량 영업부문</t>
        </is>
      </c>
      <c r="B27" t="inlineStr">
        <is>
          <t>차량 대리점</t>
        </is>
      </c>
      <c r="C27">
        <f>D27&amp;J27</f>
        <v/>
      </c>
      <c r="D27" t="n">
        <v>9096427</v>
      </c>
      <c r="E27" t="inlineStr">
        <is>
          <t>가상상사F</t>
        </is>
      </c>
      <c r="F27" t="n">
        <v>9096427</v>
      </c>
      <c r="G27" t="inlineStr">
        <is>
          <t>가상상사F</t>
        </is>
      </c>
      <c r="H27" t="inlineStr">
        <is>
          <t>신태양</t>
        </is>
      </c>
      <c r="I27" t="inlineStr">
        <is>
          <t>광주</t>
        </is>
      </c>
      <c r="J27" t="inlineStr">
        <is>
          <t>FB</t>
        </is>
      </c>
      <c r="L27" t="n">
        <v>17409.61</v>
      </c>
      <c r="M27" t="n">
        <v>657</v>
      </c>
      <c r="N27">
        <f>L27*M27</f>
        <v/>
      </c>
      <c r="O27" t="n">
        <v>16874.66</v>
      </c>
      <c r="P27" t="n">
        <v>634</v>
      </c>
      <c r="Q27">
        <f>O27*P27</f>
        <v/>
      </c>
      <c r="R27" t="n">
        <v>16561.57</v>
      </c>
      <c r="S27" t="n">
        <v>649</v>
      </c>
      <c r="T27">
        <f>R27*S27</f>
        <v/>
      </c>
      <c r="U27" t="n">
        <v>16372.23</v>
      </c>
      <c r="V27" t="n">
        <v>672</v>
      </c>
      <c r="W27">
        <f>U27*V27</f>
        <v/>
      </c>
      <c r="X27" t="n">
        <v>18917.37</v>
      </c>
      <c r="Y27" t="n">
        <v>734</v>
      </c>
      <c r="Z27">
        <f>X27*Y27</f>
        <v/>
      </c>
      <c r="AA27" t="n">
        <v>16146.62</v>
      </c>
      <c r="AB27" t="n">
        <v>703</v>
      </c>
      <c r="AC27">
        <f>AA27*AB27</f>
        <v/>
      </c>
      <c r="AD27" t="n">
        <v>17711.95</v>
      </c>
      <c r="AE27" t="n">
        <v>555</v>
      </c>
      <c r="AF27">
        <f>AD27*AE27</f>
        <v/>
      </c>
      <c r="AG27" t="n">
        <v>18000.96</v>
      </c>
      <c r="AH27" t="n">
        <v>669</v>
      </c>
      <c r="AI27">
        <f>AG27*AH27</f>
        <v/>
      </c>
      <c r="AJ27" t="n">
        <v>17889.92</v>
      </c>
      <c r="AK27" t="n">
        <v>481</v>
      </c>
      <c r="AL27">
        <f>AJ27*AK27</f>
        <v/>
      </c>
      <c r="AM27" t="n">
        <v>17107.73</v>
      </c>
      <c r="AN27" t="n">
        <v>743</v>
      </c>
      <c r="AO27">
        <f>AM27*AN27</f>
        <v/>
      </c>
      <c r="AP27" t="n">
        <v>16018.74</v>
      </c>
      <c r="AQ27" t="n">
        <v>764</v>
      </c>
      <c r="AR27">
        <f>AP27*AQ27</f>
        <v/>
      </c>
      <c r="AS27" t="n">
        <v>15686.69</v>
      </c>
      <c r="AT27" t="n">
        <v>677</v>
      </c>
      <c r="AU27">
        <f>AS27*AT27</f>
        <v/>
      </c>
      <c r="AV27" t="n">
        <v>18903.7</v>
      </c>
      <c r="AW27" t="n">
        <v>620</v>
      </c>
      <c r="AX27">
        <f>AV27*AW27</f>
        <v/>
      </c>
      <c r="AY27">
        <f>IFERROR(BA27/AZ27,0)</f>
        <v/>
      </c>
      <c r="AZ27">
        <f>SUM(P27,S27,V27,Y27,AB27,AE27,AH27,AK27,AN27,AQ27,AT27,AW27)</f>
        <v/>
      </c>
      <c r="BA27">
        <f>SUM(Q27,T27,W27,Z27,AC27,AF27,AI27,AL27,AO27,AR27,AU27,AX27)</f>
        <v/>
      </c>
      <c r="BB27">
        <f>AY27-L27</f>
        <v/>
      </c>
      <c r="BC27">
        <f>IFERROR(BB27/L27,0)</f>
        <v/>
      </c>
      <c r="BF27">
        <f>VLOOKUP("대리점"&amp;J27,인자!A:D,4,0)</f>
        <v/>
      </c>
    </row>
    <row r="28">
      <c r="A28" t="inlineStr">
        <is>
          <t>차량 영업부문</t>
        </is>
      </c>
      <c r="B28" t="inlineStr">
        <is>
          <t>차량 대리점</t>
        </is>
      </c>
      <c r="C28">
        <f>D28&amp;J28</f>
        <v/>
      </c>
      <c r="D28" t="n">
        <v>9050724</v>
      </c>
      <c r="E28" t="inlineStr">
        <is>
          <t>참좋은상사H</t>
        </is>
      </c>
      <c r="F28" t="n">
        <v>9050724</v>
      </c>
      <c r="G28" t="inlineStr">
        <is>
          <t>참좋은상사H</t>
        </is>
      </c>
      <c r="H28" t="inlineStr">
        <is>
          <t>윤재원</t>
        </is>
      </c>
      <c r="I28" t="inlineStr">
        <is>
          <t>광주</t>
        </is>
      </c>
      <c r="J28" t="inlineStr">
        <is>
          <t>MF 대형 EXP</t>
        </is>
      </c>
      <c r="L28" t="n">
        <v>289354.64</v>
      </c>
      <c r="M28" t="n">
        <v>2641</v>
      </c>
      <c r="N28">
        <f>L28*M28</f>
        <v/>
      </c>
      <c r="O28" t="n">
        <v>276936.43</v>
      </c>
      <c r="P28" t="n">
        <v>1942</v>
      </c>
      <c r="Q28">
        <f>O28*P28</f>
        <v/>
      </c>
      <c r="R28" t="n">
        <v>304906</v>
      </c>
      <c r="S28" t="n">
        <v>2882</v>
      </c>
      <c r="T28">
        <f>R28*S28</f>
        <v/>
      </c>
      <c r="U28" t="n">
        <v>273857.97</v>
      </c>
      <c r="V28" t="n">
        <v>3019</v>
      </c>
      <c r="W28">
        <f>U28*V28</f>
        <v/>
      </c>
      <c r="X28" t="n">
        <v>309628.74</v>
      </c>
      <c r="Y28" t="n">
        <v>1908</v>
      </c>
      <c r="Z28">
        <f>X28*Y28</f>
        <v/>
      </c>
      <c r="AA28" t="n">
        <v>313745.55</v>
      </c>
      <c r="AB28" t="n">
        <v>2511</v>
      </c>
      <c r="AC28">
        <f>AA28*AB28</f>
        <v/>
      </c>
      <c r="AD28" t="n">
        <v>308892.15</v>
      </c>
      <c r="AE28" t="n">
        <v>3329</v>
      </c>
      <c r="AF28">
        <f>AD28*AE28</f>
        <v/>
      </c>
      <c r="AG28" t="n">
        <v>262522.2</v>
      </c>
      <c r="AH28" t="n">
        <v>3174</v>
      </c>
      <c r="AI28">
        <f>AG28*AH28</f>
        <v/>
      </c>
      <c r="AJ28" t="n">
        <v>306019.19</v>
      </c>
      <c r="AK28" t="n">
        <v>2144</v>
      </c>
      <c r="AL28">
        <f>AJ28*AK28</f>
        <v/>
      </c>
      <c r="AM28" t="n">
        <v>303764.69</v>
      </c>
      <c r="AN28" t="n">
        <v>3231</v>
      </c>
      <c r="AO28">
        <f>AM28*AN28</f>
        <v/>
      </c>
      <c r="AP28" t="n">
        <v>277170.9</v>
      </c>
      <c r="AQ28" t="n">
        <v>1908</v>
      </c>
      <c r="AR28">
        <f>AP28*AQ28</f>
        <v/>
      </c>
      <c r="AS28" t="n">
        <v>277687.41</v>
      </c>
      <c r="AT28" t="n">
        <v>2804</v>
      </c>
      <c r="AU28">
        <f>AS28*AT28</f>
        <v/>
      </c>
      <c r="AV28" t="n">
        <v>314149.72</v>
      </c>
      <c r="AW28" t="n">
        <v>2380</v>
      </c>
      <c r="AX28">
        <f>AV28*AW28</f>
        <v/>
      </c>
      <c r="AY28">
        <f>IFERROR(BA28/AZ28,0)</f>
        <v/>
      </c>
      <c r="AZ28">
        <f>SUM(P28,S28,V28,Y28,AB28,AE28,AH28,AK28,AN28,AQ28,AT28,AW28)</f>
        <v/>
      </c>
      <c r="BA28">
        <f>SUM(Q28,T28,W28,Z28,AC28,AF28,AI28,AL28,AO28,AR28,AU28,AX28)</f>
        <v/>
      </c>
      <c r="BB28">
        <f>AY28-L28</f>
        <v/>
      </c>
      <c r="BC28">
        <f>IFERROR(BB28/L28,0)</f>
        <v/>
      </c>
      <c r="BF28">
        <f>VLOOKUP("대리점"&amp;J28,인자!A:D,4,0)</f>
        <v/>
      </c>
    </row>
    <row r="29">
      <c r="A29" t="inlineStr">
        <is>
          <t>차량 영업부문</t>
        </is>
      </c>
      <c r="B29" t="inlineStr">
        <is>
          <t>차량 대리점</t>
        </is>
      </c>
      <c r="C29">
        <f>D29&amp;J29</f>
        <v/>
      </c>
      <c r="D29" t="n">
        <v>9050724</v>
      </c>
      <c r="E29" t="inlineStr">
        <is>
          <t>참좋은상사H</t>
        </is>
      </c>
      <c r="F29" t="n">
        <v>9050724</v>
      </c>
      <c r="G29" t="inlineStr">
        <is>
          <t>참좋은상사H</t>
        </is>
      </c>
      <c r="H29" t="inlineStr">
        <is>
          <t>한지호</t>
        </is>
      </c>
      <c r="I29" t="inlineStr">
        <is>
          <t>창원</t>
        </is>
      </c>
      <c r="J29" t="inlineStr">
        <is>
          <t>차량용 대형 PH</t>
        </is>
      </c>
      <c r="L29" t="n">
        <v>281875.35</v>
      </c>
      <c r="M29" t="n">
        <v>4140</v>
      </c>
      <c r="N29">
        <f>L29*M29</f>
        <v/>
      </c>
      <c r="O29" t="n">
        <v>280072.52</v>
      </c>
      <c r="P29" t="n">
        <v>3377</v>
      </c>
      <c r="Q29">
        <f>O29*P29</f>
        <v/>
      </c>
      <c r="R29" t="n">
        <v>260038.28</v>
      </c>
      <c r="S29" t="n">
        <v>3302</v>
      </c>
      <c r="T29">
        <f>R29*S29</f>
        <v/>
      </c>
      <c r="U29" t="n">
        <v>279559.15</v>
      </c>
      <c r="V29" t="n">
        <v>3537</v>
      </c>
      <c r="W29">
        <f>U29*V29</f>
        <v/>
      </c>
      <c r="X29" t="n">
        <v>264184.8</v>
      </c>
      <c r="Y29" t="n">
        <v>4728</v>
      </c>
      <c r="Z29">
        <f>X29*Y29</f>
        <v/>
      </c>
      <c r="AA29" t="n">
        <v>298267.4</v>
      </c>
      <c r="AB29" t="n">
        <v>4308</v>
      </c>
      <c r="AC29">
        <f>AA29*AB29</f>
        <v/>
      </c>
      <c r="AD29" t="n">
        <v>296379.68</v>
      </c>
      <c r="AE29" t="n">
        <v>3334</v>
      </c>
      <c r="AF29">
        <f>AD29*AE29</f>
        <v/>
      </c>
      <c r="AG29" t="n">
        <v>301953.13</v>
      </c>
      <c r="AH29" t="n">
        <v>5126</v>
      </c>
      <c r="AI29">
        <f>AG29*AH29</f>
        <v/>
      </c>
      <c r="AJ29" t="n">
        <v>300309.42</v>
      </c>
      <c r="AK29" t="n">
        <v>4178</v>
      </c>
      <c r="AL29">
        <f>AJ29*AK29</f>
        <v/>
      </c>
      <c r="AM29" t="n">
        <v>258577.66</v>
      </c>
      <c r="AN29" t="n">
        <v>4560</v>
      </c>
      <c r="AO29">
        <f>AM29*AN29</f>
        <v/>
      </c>
      <c r="AP29" t="n">
        <v>264104.87</v>
      </c>
      <c r="AQ29" t="n">
        <v>3247</v>
      </c>
      <c r="AR29">
        <f>AP29*AQ29</f>
        <v/>
      </c>
      <c r="AS29" t="n">
        <v>271930.88</v>
      </c>
      <c r="AT29" t="n">
        <v>3514</v>
      </c>
      <c r="AU29">
        <f>AS29*AT29</f>
        <v/>
      </c>
      <c r="AV29" t="n">
        <v>268389.6</v>
      </c>
      <c r="AW29" t="n">
        <v>3483</v>
      </c>
      <c r="AX29">
        <f>AV29*AW29</f>
        <v/>
      </c>
      <c r="AY29">
        <f>IFERROR(BA29/AZ29,0)</f>
        <v/>
      </c>
      <c r="AZ29">
        <f>SUM(P29,S29,V29,Y29,AB29,AE29,AH29,AK29,AN29,AQ29,AT29,AW29)</f>
        <v/>
      </c>
      <c r="BA29">
        <f>SUM(Q29,T29,W29,Z29,AC29,AF29,AI29,AL29,AO29,AR29,AU29,AX29)</f>
        <v/>
      </c>
      <c r="BB29">
        <f>AY29-L29</f>
        <v/>
      </c>
      <c r="BC29">
        <f>IFERROR(BB29/L29,0)</f>
        <v/>
      </c>
      <c r="BF29">
        <f>VLOOKUP("대리점"&amp;J29,인자!A:D,4,0)</f>
        <v/>
      </c>
    </row>
    <row r="30">
      <c r="A30" t="inlineStr">
        <is>
          <t>차량 영업부문</t>
        </is>
      </c>
      <c r="B30" t="inlineStr">
        <is>
          <t>차량 대리점</t>
        </is>
      </c>
      <c r="C30">
        <f>D30&amp;J30</f>
        <v/>
      </c>
      <c r="D30" t="n">
        <v>9014870</v>
      </c>
      <c r="E30" t="inlineStr">
        <is>
          <t>한빛파워E</t>
        </is>
      </c>
      <c r="F30" t="n">
        <v>9014870</v>
      </c>
      <c r="G30" t="inlineStr">
        <is>
          <t>한빛파워E</t>
        </is>
      </c>
      <c r="H30" t="inlineStr">
        <is>
          <t>강시우</t>
        </is>
      </c>
      <c r="I30" t="inlineStr">
        <is>
          <t>창원</t>
        </is>
      </c>
      <c r="J30" t="inlineStr">
        <is>
          <t>차량용 소형 EXP</t>
        </is>
      </c>
      <c r="L30" t="n">
        <v>218250.35</v>
      </c>
      <c r="M30" t="n">
        <v>103</v>
      </c>
      <c r="N30">
        <f>L30*M30</f>
        <v/>
      </c>
      <c r="O30" t="n">
        <v>207842.13</v>
      </c>
      <c r="P30" t="n">
        <v>94</v>
      </c>
      <c r="Q30">
        <f>O30*P30</f>
        <v/>
      </c>
      <c r="R30" t="n">
        <v>206739.94</v>
      </c>
      <c r="S30" t="n">
        <v>113</v>
      </c>
      <c r="T30">
        <f>R30*S30</f>
        <v/>
      </c>
      <c r="U30" t="n">
        <v>216739.84</v>
      </c>
      <c r="V30" t="n">
        <v>82</v>
      </c>
      <c r="W30">
        <f>U30*V30</f>
        <v/>
      </c>
      <c r="X30" t="n">
        <v>226372.48</v>
      </c>
      <c r="Y30" t="n">
        <v>129</v>
      </c>
      <c r="Z30">
        <f>X30*Y30</f>
        <v/>
      </c>
      <c r="AA30" t="n">
        <v>235177.91</v>
      </c>
      <c r="AB30" t="n">
        <v>120</v>
      </c>
      <c r="AC30">
        <f>AA30*AB30</f>
        <v/>
      </c>
      <c r="AD30" t="n">
        <v>226556.54</v>
      </c>
      <c r="AE30" t="n">
        <v>112</v>
      </c>
      <c r="AF30">
        <f>AD30*AE30</f>
        <v/>
      </c>
      <c r="AG30" t="n">
        <v>237484.13</v>
      </c>
      <c r="AH30" t="n">
        <v>95</v>
      </c>
      <c r="AI30">
        <f>AG30*AH30</f>
        <v/>
      </c>
      <c r="AJ30" t="n">
        <v>206065.4</v>
      </c>
      <c r="AK30" t="n">
        <v>131</v>
      </c>
      <c r="AL30">
        <f>AJ30*AK30</f>
        <v/>
      </c>
      <c r="AM30" t="n">
        <v>217297.99</v>
      </c>
      <c r="AN30" t="n">
        <v>100</v>
      </c>
      <c r="AO30">
        <f>AM30*AN30</f>
        <v/>
      </c>
      <c r="AP30" t="n">
        <v>239588.16</v>
      </c>
      <c r="AQ30" t="n">
        <v>95</v>
      </c>
      <c r="AR30">
        <f>AP30*AQ30</f>
        <v/>
      </c>
      <c r="AS30" t="n">
        <v>227065.08</v>
      </c>
      <c r="AT30" t="n">
        <v>129</v>
      </c>
      <c r="AU30">
        <f>AS30*AT30</f>
        <v/>
      </c>
      <c r="AV30" t="n">
        <v>229483.72</v>
      </c>
      <c r="AW30" t="n">
        <v>122</v>
      </c>
      <c r="AX30">
        <f>AV30*AW30</f>
        <v/>
      </c>
      <c r="AY30">
        <f>IFERROR(BA30/AZ30,0)</f>
        <v/>
      </c>
      <c r="AZ30">
        <f>SUM(P30,S30,V30,Y30,AB30,AE30,AH30,AK30,AN30,AQ30,AT30,AW30)</f>
        <v/>
      </c>
      <c r="BA30">
        <f>SUM(Q30,T30,W30,Z30,AC30,AF30,AI30,AL30,AO30,AR30,AU30,AX30)</f>
        <v/>
      </c>
      <c r="BB30">
        <f>AY30-L30</f>
        <v/>
      </c>
      <c r="BC30">
        <f>IFERROR(BB30/L30,0)</f>
        <v/>
      </c>
      <c r="BF30">
        <f>VLOOKUP("대리점"&amp;J30,인자!A:D,4,0)</f>
        <v/>
      </c>
    </row>
    <row r="31">
      <c r="A31" t="inlineStr">
        <is>
          <t>차량 영업부문</t>
        </is>
      </c>
      <c r="B31" t="inlineStr">
        <is>
          <t>차량 대리점</t>
        </is>
      </c>
      <c r="C31">
        <f>D31&amp;J31</f>
        <v/>
      </c>
      <c r="D31" t="n">
        <v>9036529</v>
      </c>
      <c r="E31" t="inlineStr">
        <is>
          <t>새한전자D</t>
        </is>
      </c>
      <c r="F31" t="n">
        <v>9036529</v>
      </c>
      <c r="G31" t="inlineStr">
        <is>
          <t>새한전자D</t>
        </is>
      </c>
      <c r="H31" t="inlineStr">
        <is>
          <t>신태양</t>
        </is>
      </c>
      <c r="I31" t="inlineStr">
        <is>
          <t>광주</t>
        </is>
      </c>
      <c r="J31" t="inlineStr">
        <is>
          <t>차량용 중형 EXP</t>
        </is>
      </c>
      <c r="L31" t="n">
        <v>227648.17</v>
      </c>
      <c r="M31" t="n">
        <v>680</v>
      </c>
      <c r="N31">
        <f>L31*M31</f>
        <v/>
      </c>
      <c r="O31" t="n">
        <v>228809.48</v>
      </c>
      <c r="P31" t="n">
        <v>691</v>
      </c>
      <c r="Q31">
        <f>O31*P31</f>
        <v/>
      </c>
      <c r="R31" t="n">
        <v>221355.29</v>
      </c>
      <c r="S31" t="n">
        <v>850</v>
      </c>
      <c r="T31">
        <f>R31*S31</f>
        <v/>
      </c>
      <c r="U31" t="n">
        <v>209992.18</v>
      </c>
      <c r="V31" t="n">
        <v>814</v>
      </c>
      <c r="W31">
        <f>U31*V31</f>
        <v/>
      </c>
      <c r="X31" t="n">
        <v>245991.52</v>
      </c>
      <c r="Y31" t="n">
        <v>558</v>
      </c>
      <c r="Z31">
        <f>X31*Y31</f>
        <v/>
      </c>
      <c r="AA31" t="n">
        <v>229317.29</v>
      </c>
      <c r="AB31" t="n">
        <v>543</v>
      </c>
      <c r="AC31">
        <f>AA31*AB31</f>
        <v/>
      </c>
      <c r="AD31" t="n">
        <v>243787.79</v>
      </c>
      <c r="AE31" t="n">
        <v>656</v>
      </c>
      <c r="AF31">
        <f>AD31*AE31</f>
        <v/>
      </c>
      <c r="AG31" t="n">
        <v>235856.95</v>
      </c>
      <c r="AH31" t="n">
        <v>769</v>
      </c>
      <c r="AI31">
        <f>AG31*AH31</f>
        <v/>
      </c>
      <c r="AJ31" t="n">
        <v>227139.51</v>
      </c>
      <c r="AK31" t="n">
        <v>843</v>
      </c>
      <c r="AL31">
        <f>AJ31*AK31</f>
        <v/>
      </c>
      <c r="AM31" t="n">
        <v>225166.02</v>
      </c>
      <c r="AN31" t="n">
        <v>499</v>
      </c>
      <c r="AO31">
        <f>AM31*AN31</f>
        <v/>
      </c>
      <c r="AP31" t="n">
        <v>210890.73</v>
      </c>
      <c r="AQ31" t="n">
        <v>645</v>
      </c>
      <c r="AR31">
        <f>AP31*AQ31</f>
        <v/>
      </c>
      <c r="AS31" t="n">
        <v>230558.02</v>
      </c>
      <c r="AT31" t="n">
        <v>704</v>
      </c>
      <c r="AU31">
        <f>AS31*AT31</f>
        <v/>
      </c>
      <c r="AV31" t="n">
        <v>235514.22</v>
      </c>
      <c r="AW31" t="n">
        <v>602</v>
      </c>
      <c r="AX31">
        <f>AV31*AW31</f>
        <v/>
      </c>
      <c r="AY31">
        <f>IFERROR(BA31/AZ31,0)</f>
        <v/>
      </c>
      <c r="AZ31">
        <f>SUM(P31,S31,V31,Y31,AB31,AE31,AH31,AK31,AN31,AQ31,AT31,AW31)</f>
        <v/>
      </c>
      <c r="BA31">
        <f>SUM(Q31,T31,W31,Z31,AC31,AF31,AI31,AL31,AO31,AR31,AU31,AX31)</f>
        <v/>
      </c>
      <c r="BB31">
        <f>AY31-L31</f>
        <v/>
      </c>
      <c r="BC31">
        <f>IFERROR(BB31/L31,0)</f>
        <v/>
      </c>
      <c r="BF31">
        <f>VLOOKUP("대리점"&amp;J31,인자!A:D,4,0)</f>
        <v/>
      </c>
    </row>
    <row r="32">
      <c r="A32" t="inlineStr">
        <is>
          <t>차량 영업부문</t>
        </is>
      </c>
      <c r="B32" t="inlineStr">
        <is>
          <t>차량 대리점</t>
        </is>
      </c>
      <c r="C32">
        <f>D32&amp;J32</f>
        <v/>
      </c>
      <c r="D32" t="n">
        <v>9018048</v>
      </c>
      <c r="E32" t="inlineStr">
        <is>
          <t>동해파워A</t>
        </is>
      </c>
      <c r="F32" t="n">
        <v>9018048</v>
      </c>
      <c r="G32" t="inlineStr">
        <is>
          <t>동해파워A</t>
        </is>
      </c>
      <c r="H32" t="inlineStr">
        <is>
          <t>조유나</t>
        </is>
      </c>
      <c r="I32" t="inlineStr">
        <is>
          <t>창원</t>
        </is>
      </c>
      <c r="J32" t="inlineStr">
        <is>
          <t>차량용 대형 EXP</t>
        </is>
      </c>
      <c r="L32" t="n">
        <v>5889.56</v>
      </c>
      <c r="M32" t="n">
        <v>1795</v>
      </c>
      <c r="N32">
        <f>L32*M32</f>
        <v/>
      </c>
      <c r="O32" t="n">
        <v>5981.8</v>
      </c>
      <c r="P32" t="n">
        <v>1305</v>
      </c>
      <c r="Q32">
        <f>O32*P32</f>
        <v/>
      </c>
      <c r="R32" t="n">
        <v>5706.43</v>
      </c>
      <c r="S32" t="n">
        <v>1325</v>
      </c>
      <c r="T32">
        <f>R32*S32</f>
        <v/>
      </c>
      <c r="U32" t="n">
        <v>6471.59</v>
      </c>
      <c r="V32" t="n">
        <v>2263</v>
      </c>
      <c r="W32">
        <f>U32*V32</f>
        <v/>
      </c>
      <c r="X32" t="n">
        <v>5381.9</v>
      </c>
      <c r="Y32" t="n">
        <v>2262</v>
      </c>
      <c r="Z32">
        <f>X32*Y32</f>
        <v/>
      </c>
      <c r="AA32" t="n">
        <v>5337.98</v>
      </c>
      <c r="AB32" t="n">
        <v>1697</v>
      </c>
      <c r="AC32">
        <f>AA32*AB32</f>
        <v/>
      </c>
      <c r="AD32" t="n">
        <v>6206.39</v>
      </c>
      <c r="AE32" t="n">
        <v>2081</v>
      </c>
      <c r="AF32">
        <f>AD32*AE32</f>
        <v/>
      </c>
      <c r="AG32" t="n">
        <v>6452.99</v>
      </c>
      <c r="AH32" t="n">
        <v>1952</v>
      </c>
      <c r="AI32">
        <f>AG32*AH32</f>
        <v/>
      </c>
      <c r="AJ32" t="n">
        <v>5795.75</v>
      </c>
      <c r="AK32" t="n">
        <v>2326</v>
      </c>
      <c r="AL32">
        <f>AJ32*AK32</f>
        <v/>
      </c>
      <c r="AM32" t="n">
        <v>5751.13</v>
      </c>
      <c r="AN32" t="n">
        <v>2193</v>
      </c>
      <c r="AO32">
        <f>AM32*AN32</f>
        <v/>
      </c>
      <c r="AP32" t="n">
        <v>6368.7</v>
      </c>
      <c r="AQ32" t="n">
        <v>1661</v>
      </c>
      <c r="AR32">
        <f>AP32*AQ32</f>
        <v/>
      </c>
      <c r="AS32" t="n">
        <v>6104.8</v>
      </c>
      <c r="AT32" t="n">
        <v>1969</v>
      </c>
      <c r="AU32">
        <f>AS32*AT32</f>
        <v/>
      </c>
      <c r="AV32" t="n">
        <v>5935.85</v>
      </c>
      <c r="AW32" t="n">
        <v>1960</v>
      </c>
      <c r="AX32">
        <f>AV32*AW32</f>
        <v/>
      </c>
      <c r="AY32">
        <f>IFERROR(BA32/AZ32,0)</f>
        <v/>
      </c>
      <c r="AZ32">
        <f>SUM(P32,S32,V32,Y32,AB32,AE32,AH32,AK32,AN32,AQ32,AT32,AW32)</f>
        <v/>
      </c>
      <c r="BA32">
        <f>SUM(Q32,T32,W32,Z32,AC32,AF32,AI32,AL32,AO32,AR32,AU32,AX32)</f>
        <v/>
      </c>
      <c r="BB32">
        <f>AY32-L32</f>
        <v/>
      </c>
      <c r="BC32">
        <f>IFERROR(BB32/L32,0)</f>
        <v/>
      </c>
      <c r="BF32">
        <f>VLOOKUP("대리점"&amp;J32,인자!A:D,4,0)</f>
        <v/>
      </c>
    </row>
    <row r="33">
      <c r="A33" t="inlineStr">
        <is>
          <t>차량 영업부문</t>
        </is>
      </c>
      <c r="B33" t="inlineStr">
        <is>
          <t>차량 대리점</t>
        </is>
      </c>
      <c r="C33">
        <f>D33&amp;J33</f>
        <v/>
      </c>
      <c r="D33" t="n">
        <v>9096427</v>
      </c>
      <c r="E33" t="inlineStr">
        <is>
          <t>가상상사F</t>
        </is>
      </c>
      <c r="F33" t="n">
        <v>9096427</v>
      </c>
      <c r="G33" t="inlineStr">
        <is>
          <t>가상상사F</t>
        </is>
      </c>
      <c r="H33" t="inlineStr">
        <is>
          <t>이서연</t>
        </is>
      </c>
      <c r="I33" t="inlineStr">
        <is>
          <t>광주</t>
        </is>
      </c>
      <c r="J33" t="inlineStr">
        <is>
          <t>이륜용 상품</t>
        </is>
      </c>
      <c r="L33" t="n">
        <v>120952.3</v>
      </c>
      <c r="M33" t="n">
        <v>1053</v>
      </c>
      <c r="N33">
        <f>L33*M33</f>
        <v/>
      </c>
      <c r="O33" t="n">
        <v>126464.29</v>
      </c>
      <c r="P33" t="n">
        <v>878</v>
      </c>
      <c r="Q33">
        <f>O33*P33</f>
        <v/>
      </c>
      <c r="R33" t="n">
        <v>108941.09</v>
      </c>
      <c r="S33" t="n">
        <v>751</v>
      </c>
      <c r="T33">
        <f>R33*S33</f>
        <v/>
      </c>
      <c r="U33" t="n">
        <v>116074.61</v>
      </c>
      <c r="V33" t="n">
        <v>1163</v>
      </c>
      <c r="W33">
        <f>U33*V33</f>
        <v/>
      </c>
      <c r="X33" t="n">
        <v>122027.45</v>
      </c>
      <c r="Y33" t="n">
        <v>1073</v>
      </c>
      <c r="Z33">
        <f>X33*Y33</f>
        <v/>
      </c>
      <c r="AA33" t="n">
        <v>128774.54</v>
      </c>
      <c r="AB33" t="n">
        <v>893</v>
      </c>
      <c r="AC33">
        <f>AA33*AB33</f>
        <v/>
      </c>
      <c r="AD33" t="n">
        <v>117230.83</v>
      </c>
      <c r="AE33" t="n">
        <v>911</v>
      </c>
      <c r="AF33">
        <f>AD33*AE33</f>
        <v/>
      </c>
      <c r="AG33" t="n">
        <v>131533.46</v>
      </c>
      <c r="AH33" t="n">
        <v>1195</v>
      </c>
      <c r="AI33">
        <f>AG33*AH33</f>
        <v/>
      </c>
      <c r="AJ33" t="n">
        <v>111586.83</v>
      </c>
      <c r="AK33" t="n">
        <v>1249</v>
      </c>
      <c r="AL33">
        <f>AJ33*AK33</f>
        <v/>
      </c>
      <c r="AM33" t="n">
        <v>118998.69</v>
      </c>
      <c r="AN33" t="n">
        <v>1221</v>
      </c>
      <c r="AO33">
        <f>AM33*AN33</f>
        <v/>
      </c>
      <c r="AP33" t="n">
        <v>130235.55</v>
      </c>
      <c r="AQ33" t="n">
        <v>747</v>
      </c>
      <c r="AR33">
        <f>AP33*AQ33</f>
        <v/>
      </c>
      <c r="AS33" t="n">
        <v>113842.28</v>
      </c>
      <c r="AT33" t="n">
        <v>801</v>
      </c>
      <c r="AU33">
        <f>AS33*AT33</f>
        <v/>
      </c>
      <c r="AV33" t="n">
        <v>109669.3</v>
      </c>
      <c r="AW33" t="n">
        <v>1115</v>
      </c>
      <c r="AX33">
        <f>AV33*AW33</f>
        <v/>
      </c>
      <c r="AY33">
        <f>IFERROR(BA33/AZ33,0)</f>
        <v/>
      </c>
      <c r="AZ33">
        <f>SUM(P33,S33,V33,Y33,AB33,AE33,AH33,AK33,AN33,AQ33,AT33,AW33)</f>
        <v/>
      </c>
      <c r="BA33">
        <f>SUM(Q33,T33,W33,Z33,AC33,AF33,AI33,AL33,AO33,AR33,AU33,AX33)</f>
        <v/>
      </c>
      <c r="BB33">
        <f>AY33-L33</f>
        <v/>
      </c>
      <c r="BC33">
        <f>IFERROR(BB33/L33,0)</f>
        <v/>
      </c>
      <c r="BF33">
        <f>VLOOKUP("대리점"&amp;J33,인자!A:D,4,0)</f>
        <v/>
      </c>
    </row>
    <row r="34">
      <c r="A34" t="inlineStr">
        <is>
          <t>차량 영업부문</t>
        </is>
      </c>
      <c r="B34" t="inlineStr">
        <is>
          <t>차량 대리점</t>
        </is>
      </c>
      <c r="C34">
        <f>D34&amp;J34</f>
        <v/>
      </c>
      <c r="D34" t="n">
        <v>9018048</v>
      </c>
      <c r="E34" t="inlineStr">
        <is>
          <t>동해파워A</t>
        </is>
      </c>
      <c r="F34" t="n">
        <v>9018048</v>
      </c>
      <c r="G34" t="inlineStr">
        <is>
          <t>동해파워A</t>
        </is>
      </c>
      <c r="H34" t="inlineStr">
        <is>
          <t>최지우</t>
        </is>
      </c>
      <c r="I34" t="inlineStr">
        <is>
          <t>광주</t>
        </is>
      </c>
      <c r="J34" t="inlineStr">
        <is>
          <t>GB 택시 EXP</t>
        </is>
      </c>
      <c r="L34" t="n">
        <v>134494.03</v>
      </c>
      <c r="M34" t="n">
        <v>4431</v>
      </c>
      <c r="N34">
        <f>L34*M34</f>
        <v/>
      </c>
      <c r="O34" t="n">
        <v>126888.91</v>
      </c>
      <c r="P34" t="n">
        <v>5398</v>
      </c>
      <c r="Q34">
        <f>O34*P34</f>
        <v/>
      </c>
      <c r="R34" t="n">
        <v>122562.9</v>
      </c>
      <c r="S34" t="n">
        <v>4441</v>
      </c>
      <c r="T34">
        <f>R34*S34</f>
        <v/>
      </c>
      <c r="U34" t="n">
        <v>128825.47</v>
      </c>
      <c r="V34" t="n">
        <v>5271</v>
      </c>
      <c r="W34">
        <f>U34*V34</f>
        <v/>
      </c>
      <c r="X34" t="n">
        <v>140721.57</v>
      </c>
      <c r="Y34" t="n">
        <v>3950</v>
      </c>
      <c r="Z34">
        <f>X34*Y34</f>
        <v/>
      </c>
      <c r="AA34" t="n">
        <v>137127.9</v>
      </c>
      <c r="AB34" t="n">
        <v>4890</v>
      </c>
      <c r="AC34">
        <f>AA34*AB34</f>
        <v/>
      </c>
      <c r="AD34" t="n">
        <v>129670.14</v>
      </c>
      <c r="AE34" t="n">
        <v>3904</v>
      </c>
      <c r="AF34">
        <f>AD34*AE34</f>
        <v/>
      </c>
      <c r="AG34" t="n">
        <v>124898.16</v>
      </c>
      <c r="AH34" t="n">
        <v>4857</v>
      </c>
      <c r="AI34">
        <f>AG34*AH34</f>
        <v/>
      </c>
      <c r="AJ34" t="n">
        <v>126990.41</v>
      </c>
      <c r="AK34" t="n">
        <v>3901</v>
      </c>
      <c r="AL34">
        <f>AJ34*AK34</f>
        <v/>
      </c>
      <c r="AM34" t="n">
        <v>122684.31</v>
      </c>
      <c r="AN34" t="n">
        <v>5623</v>
      </c>
      <c r="AO34">
        <f>AM34*AN34</f>
        <v/>
      </c>
      <c r="AP34" t="n">
        <v>144707.88</v>
      </c>
      <c r="AQ34" t="n">
        <v>5525</v>
      </c>
      <c r="AR34">
        <f>AP34*AQ34</f>
        <v/>
      </c>
      <c r="AS34" t="n">
        <v>137883.09</v>
      </c>
      <c r="AT34" t="n">
        <v>4237</v>
      </c>
      <c r="AU34">
        <f>AS34*AT34</f>
        <v/>
      </c>
      <c r="AV34" t="n">
        <v>134376.23</v>
      </c>
      <c r="AW34" t="n">
        <v>5687</v>
      </c>
      <c r="AX34">
        <f>AV34*AW34</f>
        <v/>
      </c>
      <c r="AY34">
        <f>IFERROR(BA34/AZ34,0)</f>
        <v/>
      </c>
      <c r="AZ34">
        <f>SUM(P34,S34,V34,Y34,AB34,AE34,AH34,AK34,AN34,AQ34,AT34,AW34)</f>
        <v/>
      </c>
      <c r="BA34">
        <f>SUM(Q34,T34,W34,Z34,AC34,AF34,AI34,AL34,AO34,AR34,AU34,AX34)</f>
        <v/>
      </c>
      <c r="BB34">
        <f>AY34-L34</f>
        <v/>
      </c>
      <c r="BC34">
        <f>IFERROR(BB34/L34,0)</f>
        <v/>
      </c>
      <c r="BF34">
        <f>VLOOKUP("대리점"&amp;J34,인자!A:D,4,0)</f>
        <v/>
      </c>
    </row>
    <row r="35">
      <c r="A35" t="inlineStr">
        <is>
          <t>차량 영업부문</t>
        </is>
      </c>
      <c r="B35" t="inlineStr">
        <is>
          <t>차량 대리점</t>
        </is>
      </c>
      <c r="C35">
        <f>D35&amp;J35</f>
        <v/>
      </c>
      <c r="D35" t="n">
        <v>9065411</v>
      </c>
      <c r="E35" t="inlineStr">
        <is>
          <t>드림배터리G</t>
        </is>
      </c>
      <c r="F35" t="n">
        <v>9065411</v>
      </c>
      <c r="G35" t="inlineStr">
        <is>
          <t>드림배터리G</t>
        </is>
      </c>
      <c r="H35" t="inlineStr">
        <is>
          <t>신태양</t>
        </is>
      </c>
      <c r="I35" t="inlineStr">
        <is>
          <t>창원</t>
        </is>
      </c>
      <c r="J35" t="inlineStr">
        <is>
          <t>차량용 중형 PH</t>
        </is>
      </c>
      <c r="L35" t="n">
        <v>127815.77</v>
      </c>
      <c r="M35" t="n">
        <v>1232</v>
      </c>
      <c r="N35">
        <f>L35*M35</f>
        <v/>
      </c>
      <c r="O35" t="n">
        <v>122700.29</v>
      </c>
      <c r="P35" t="n">
        <v>998</v>
      </c>
      <c r="Q35">
        <f>O35*P35</f>
        <v/>
      </c>
      <c r="R35" t="n">
        <v>128785.34</v>
      </c>
      <c r="S35" t="n">
        <v>1041</v>
      </c>
      <c r="T35">
        <f>R35*S35</f>
        <v/>
      </c>
      <c r="U35" t="n">
        <v>120794.71</v>
      </c>
      <c r="V35" t="n">
        <v>1496</v>
      </c>
      <c r="W35">
        <f>U35*V35</f>
        <v/>
      </c>
      <c r="X35" t="n">
        <v>118724.28</v>
      </c>
      <c r="Y35" t="n">
        <v>1205</v>
      </c>
      <c r="Z35">
        <f>X35*Y35</f>
        <v/>
      </c>
      <c r="AA35" t="n">
        <v>116507.24</v>
      </c>
      <c r="AB35" t="n">
        <v>1167</v>
      </c>
      <c r="AC35">
        <f>AA35*AB35</f>
        <v/>
      </c>
      <c r="AD35" t="n">
        <v>125681.45</v>
      </c>
      <c r="AE35" t="n">
        <v>1254</v>
      </c>
      <c r="AF35">
        <f>AD35*AE35</f>
        <v/>
      </c>
      <c r="AG35" t="n">
        <v>124963.41</v>
      </c>
      <c r="AH35" t="n">
        <v>1051</v>
      </c>
      <c r="AI35">
        <f>AG35*AH35</f>
        <v/>
      </c>
      <c r="AJ35" t="n">
        <v>123476.76</v>
      </c>
      <c r="AK35" t="n">
        <v>921</v>
      </c>
      <c r="AL35">
        <f>AJ35*AK35</f>
        <v/>
      </c>
      <c r="AM35" t="n">
        <v>126532.16</v>
      </c>
      <c r="AN35" t="n">
        <v>1137</v>
      </c>
      <c r="AO35">
        <f>AM35*AN35</f>
        <v/>
      </c>
      <c r="AP35" t="n">
        <v>128726.73</v>
      </c>
      <c r="AQ35" t="n">
        <v>1475</v>
      </c>
      <c r="AR35">
        <f>AP35*AQ35</f>
        <v/>
      </c>
      <c r="AS35" t="n">
        <v>116351.63</v>
      </c>
      <c r="AT35" t="n">
        <v>1141</v>
      </c>
      <c r="AU35">
        <f>AS35*AT35</f>
        <v/>
      </c>
      <c r="AV35" t="n">
        <v>130499.12</v>
      </c>
      <c r="AW35" t="n">
        <v>892</v>
      </c>
      <c r="AX35">
        <f>AV35*AW35</f>
        <v/>
      </c>
      <c r="AY35">
        <f>IFERROR(BA35/AZ35,0)</f>
        <v/>
      </c>
      <c r="AZ35">
        <f>SUM(P35,S35,V35,Y35,AB35,AE35,AH35,AK35,AN35,AQ35,AT35,AW35)</f>
        <v/>
      </c>
      <c r="BA35">
        <f>SUM(Q35,T35,W35,Z35,AC35,AF35,AI35,AL35,AO35,AR35,AU35,AX35)</f>
        <v/>
      </c>
      <c r="BB35">
        <f>AY35-L35</f>
        <v/>
      </c>
      <c r="BC35">
        <f>IFERROR(BB35/L35,0)</f>
        <v/>
      </c>
      <c r="BF35">
        <f>VLOOKUP("대리점"&amp;J35,인자!A:D,4,0)</f>
        <v/>
      </c>
    </row>
    <row r="36">
      <c r="A36" t="inlineStr">
        <is>
          <t>차량 영업부문</t>
        </is>
      </c>
      <c r="B36" t="inlineStr">
        <is>
          <t>차량 대리점</t>
        </is>
      </c>
      <c r="C36">
        <f>D36&amp;J36</f>
        <v/>
      </c>
      <c r="D36" t="n">
        <v>9048097</v>
      </c>
      <c r="E36" t="inlineStr">
        <is>
          <t>참좋은상사B</t>
        </is>
      </c>
      <c r="F36" t="n">
        <v>9048097</v>
      </c>
      <c r="G36" t="inlineStr">
        <is>
          <t>참좋은상사B</t>
        </is>
      </c>
      <c r="H36" t="inlineStr">
        <is>
          <t>최지우</t>
        </is>
      </c>
      <c r="I36" t="inlineStr">
        <is>
          <t>광주</t>
        </is>
      </c>
      <c r="J36" t="inlineStr">
        <is>
          <t>MF 택시 EXP</t>
        </is>
      </c>
      <c r="L36" t="n">
        <v>66622.28</v>
      </c>
      <c r="M36" t="n">
        <v>2737</v>
      </c>
      <c r="N36">
        <f>L36*M36</f>
        <v/>
      </c>
      <c r="O36" t="n">
        <v>63999.87</v>
      </c>
      <c r="P36" t="n">
        <v>3409</v>
      </c>
      <c r="Q36">
        <f>O36*P36</f>
        <v/>
      </c>
      <c r="R36" t="n">
        <v>62782.28</v>
      </c>
      <c r="S36" t="n">
        <v>2228</v>
      </c>
      <c r="T36">
        <f>R36*S36</f>
        <v/>
      </c>
      <c r="U36" t="n">
        <v>69839.81</v>
      </c>
      <c r="V36" t="n">
        <v>3142</v>
      </c>
      <c r="W36">
        <f>U36*V36</f>
        <v/>
      </c>
      <c r="X36" t="n">
        <v>70011.10000000001</v>
      </c>
      <c r="Y36" t="n">
        <v>3418</v>
      </c>
      <c r="Z36">
        <f>X36*Y36</f>
        <v/>
      </c>
      <c r="AA36" t="n">
        <v>69228.89</v>
      </c>
      <c r="AB36" t="n">
        <v>3072</v>
      </c>
      <c r="AC36">
        <f>AA36*AB36</f>
        <v/>
      </c>
      <c r="AD36" t="n">
        <v>65244.96</v>
      </c>
      <c r="AE36" t="n">
        <v>2309</v>
      </c>
      <c r="AF36">
        <f>AD36*AE36</f>
        <v/>
      </c>
      <c r="AG36" t="n">
        <v>64245.4</v>
      </c>
      <c r="AH36" t="n">
        <v>2381</v>
      </c>
      <c r="AI36">
        <f>AG36*AH36</f>
        <v/>
      </c>
      <c r="AJ36" t="n">
        <v>66172.59</v>
      </c>
      <c r="AK36" t="n">
        <v>2981</v>
      </c>
      <c r="AL36">
        <f>AJ36*AK36</f>
        <v/>
      </c>
      <c r="AM36" t="n">
        <v>64069.61</v>
      </c>
      <c r="AN36" t="n">
        <v>2507</v>
      </c>
      <c r="AO36">
        <f>AM36*AN36</f>
        <v/>
      </c>
      <c r="AP36" t="n">
        <v>71723.03999999999</v>
      </c>
      <c r="AQ36" t="n">
        <v>2681</v>
      </c>
      <c r="AR36">
        <f>AP36*AQ36</f>
        <v/>
      </c>
      <c r="AS36" t="n">
        <v>70657.14999999999</v>
      </c>
      <c r="AT36" t="n">
        <v>3102</v>
      </c>
      <c r="AU36">
        <f>AS36*AT36</f>
        <v/>
      </c>
      <c r="AV36" t="n">
        <v>70108.34</v>
      </c>
      <c r="AW36" t="n">
        <v>2442</v>
      </c>
      <c r="AX36">
        <f>AV36*AW36</f>
        <v/>
      </c>
      <c r="AY36">
        <f>IFERROR(BA36/AZ36,0)</f>
        <v/>
      </c>
      <c r="AZ36">
        <f>SUM(P36,S36,V36,Y36,AB36,AE36,AH36,AK36,AN36,AQ36,AT36,AW36)</f>
        <v/>
      </c>
      <c r="BA36">
        <f>SUM(Q36,T36,W36,Z36,AC36,AF36,AI36,AL36,AO36,AR36,AU36,AX36)</f>
        <v/>
      </c>
      <c r="BB36">
        <f>AY36-L36</f>
        <v/>
      </c>
      <c r="BC36">
        <f>IFERROR(BB36/L36,0)</f>
        <v/>
      </c>
      <c r="BF36">
        <f>VLOOKUP("대리점"&amp;J36,인자!A:D,4,0)</f>
        <v/>
      </c>
    </row>
    <row r="37">
      <c r="A37" t="inlineStr">
        <is>
          <t>차량 영업부문</t>
        </is>
      </c>
      <c r="B37" t="inlineStr">
        <is>
          <t>차량 대리점</t>
        </is>
      </c>
      <c r="C37">
        <f>D37&amp;J37</f>
        <v/>
      </c>
      <c r="D37" t="n">
        <v>9036529</v>
      </c>
      <c r="E37" t="inlineStr">
        <is>
          <t>새한전자D</t>
        </is>
      </c>
      <c r="F37" t="n">
        <v>9036529</v>
      </c>
      <c r="G37" t="inlineStr">
        <is>
          <t>새한전자D</t>
        </is>
      </c>
      <c r="H37" t="inlineStr">
        <is>
          <t>강시우</t>
        </is>
      </c>
      <c r="I37" t="inlineStr">
        <is>
          <t>창원</t>
        </is>
      </c>
      <c r="J37" t="inlineStr">
        <is>
          <t>GB 택시 EXP</t>
        </is>
      </c>
      <c r="L37" t="n">
        <v>18486.06</v>
      </c>
      <c r="M37" t="n">
        <v>1822</v>
      </c>
      <c r="N37">
        <f>L37*M37</f>
        <v/>
      </c>
      <c r="O37" t="n">
        <v>19378.02</v>
      </c>
      <c r="P37" t="n">
        <v>1293</v>
      </c>
      <c r="Q37">
        <f>O37*P37</f>
        <v/>
      </c>
      <c r="R37" t="n">
        <v>18683.16</v>
      </c>
      <c r="S37" t="n">
        <v>1914</v>
      </c>
      <c r="T37">
        <f>R37*S37</f>
        <v/>
      </c>
      <c r="U37" t="n">
        <v>19299.49</v>
      </c>
      <c r="V37" t="n">
        <v>1598</v>
      </c>
      <c r="W37">
        <f>U37*V37</f>
        <v/>
      </c>
      <c r="X37" t="n">
        <v>17362.82</v>
      </c>
      <c r="Y37" t="n">
        <v>1527</v>
      </c>
      <c r="Z37">
        <f>X37*Y37</f>
        <v/>
      </c>
      <c r="AA37" t="n">
        <v>18744.09</v>
      </c>
      <c r="AB37" t="n">
        <v>1544</v>
      </c>
      <c r="AC37">
        <f>AA37*AB37</f>
        <v/>
      </c>
      <c r="AD37" t="n">
        <v>18673.3</v>
      </c>
      <c r="AE37" t="n">
        <v>2307</v>
      </c>
      <c r="AF37">
        <f>AD37*AE37</f>
        <v/>
      </c>
      <c r="AG37" t="n">
        <v>17885.5</v>
      </c>
      <c r="AH37" t="n">
        <v>2110</v>
      </c>
      <c r="AI37">
        <f>AG37*AH37</f>
        <v/>
      </c>
      <c r="AJ37" t="n">
        <v>18443.99</v>
      </c>
      <c r="AK37" t="n">
        <v>2066</v>
      </c>
      <c r="AL37">
        <f>AJ37*AK37</f>
        <v/>
      </c>
      <c r="AM37" t="n">
        <v>19371.89</v>
      </c>
      <c r="AN37" t="n">
        <v>1779</v>
      </c>
      <c r="AO37">
        <f>AM37*AN37</f>
        <v/>
      </c>
      <c r="AP37" t="n">
        <v>19346.67</v>
      </c>
      <c r="AQ37" t="n">
        <v>1660</v>
      </c>
      <c r="AR37">
        <f>AP37*AQ37</f>
        <v/>
      </c>
      <c r="AS37" t="n">
        <v>17154.91</v>
      </c>
      <c r="AT37" t="n">
        <v>1873</v>
      </c>
      <c r="AU37">
        <f>AS37*AT37</f>
        <v/>
      </c>
      <c r="AV37" t="n">
        <v>17317.92</v>
      </c>
      <c r="AW37" t="n">
        <v>2248</v>
      </c>
      <c r="AX37">
        <f>AV37*AW37</f>
        <v/>
      </c>
      <c r="AY37">
        <f>IFERROR(BA37/AZ37,0)</f>
        <v/>
      </c>
      <c r="AZ37">
        <f>SUM(P37,S37,V37,Y37,AB37,AE37,AH37,AK37,AN37,AQ37,AT37,AW37)</f>
        <v/>
      </c>
      <c r="BA37">
        <f>SUM(Q37,T37,W37,Z37,AC37,AF37,AI37,AL37,AO37,AR37,AU37,AX37)</f>
        <v/>
      </c>
      <c r="BB37">
        <f>AY37-L37</f>
        <v/>
      </c>
      <c r="BC37">
        <f>IFERROR(BB37/L37,0)</f>
        <v/>
      </c>
      <c r="BF37">
        <f>VLOOKUP("대리점"&amp;J37,인자!A:D,4,0)</f>
        <v/>
      </c>
    </row>
    <row r="38">
      <c r="A38" t="inlineStr">
        <is>
          <t>차량 영업부문</t>
        </is>
      </c>
      <c r="B38" t="inlineStr">
        <is>
          <t>차량 대리점</t>
        </is>
      </c>
      <c r="C38">
        <f>D38&amp;J38</f>
        <v/>
      </c>
      <c r="D38" t="n">
        <v>9018048</v>
      </c>
      <c r="E38" t="inlineStr">
        <is>
          <t>동해파워A</t>
        </is>
      </c>
      <c r="F38" t="n">
        <v>9018048</v>
      </c>
      <c r="G38" t="inlineStr">
        <is>
          <t>동해파워A</t>
        </is>
      </c>
      <c r="H38" t="inlineStr">
        <is>
          <t>장수아</t>
        </is>
      </c>
      <c r="I38" t="inlineStr">
        <is>
          <t>광주</t>
        </is>
      </c>
      <c r="J38" t="inlineStr">
        <is>
          <t>차량용 대형 EXP</t>
        </is>
      </c>
      <c r="L38" t="n">
        <v>254775.73</v>
      </c>
      <c r="M38" t="n">
        <v>407</v>
      </c>
      <c r="N38">
        <f>L38*M38</f>
        <v/>
      </c>
      <c r="O38" t="n">
        <v>268245.15</v>
      </c>
      <c r="P38" t="n">
        <v>386</v>
      </c>
      <c r="Q38">
        <f>O38*P38</f>
        <v/>
      </c>
      <c r="R38" t="n">
        <v>272230.15</v>
      </c>
      <c r="S38" t="n">
        <v>341</v>
      </c>
      <c r="T38">
        <f>R38*S38</f>
        <v/>
      </c>
      <c r="U38" t="n">
        <v>265332.09</v>
      </c>
      <c r="V38" t="n">
        <v>287</v>
      </c>
      <c r="W38">
        <f>U38*V38</f>
        <v/>
      </c>
      <c r="X38" t="n">
        <v>255067.85</v>
      </c>
      <c r="Y38" t="n">
        <v>376</v>
      </c>
      <c r="Z38">
        <f>X38*Y38</f>
        <v/>
      </c>
      <c r="AA38" t="n">
        <v>260780.04</v>
      </c>
      <c r="AB38" t="n">
        <v>448</v>
      </c>
      <c r="AC38">
        <f>AA38*AB38</f>
        <v/>
      </c>
      <c r="AD38" t="n">
        <v>260712.99</v>
      </c>
      <c r="AE38" t="n">
        <v>403</v>
      </c>
      <c r="AF38">
        <f>AD38*AE38</f>
        <v/>
      </c>
      <c r="AG38" t="n">
        <v>254156.85</v>
      </c>
      <c r="AH38" t="n">
        <v>287</v>
      </c>
      <c r="AI38">
        <f>AG38*AH38</f>
        <v/>
      </c>
      <c r="AJ38" t="n">
        <v>257407.24</v>
      </c>
      <c r="AK38" t="n">
        <v>288</v>
      </c>
      <c r="AL38">
        <f>AJ38*AK38</f>
        <v/>
      </c>
      <c r="AM38" t="n">
        <v>256274.71</v>
      </c>
      <c r="AN38" t="n">
        <v>352</v>
      </c>
      <c r="AO38">
        <f>AM38*AN38</f>
        <v/>
      </c>
      <c r="AP38" t="n">
        <v>279105.76</v>
      </c>
      <c r="AQ38" t="n">
        <v>289</v>
      </c>
      <c r="AR38">
        <f>AP38*AQ38</f>
        <v/>
      </c>
      <c r="AS38" t="n">
        <v>270732.7</v>
      </c>
      <c r="AT38" t="n">
        <v>449</v>
      </c>
      <c r="AU38">
        <f>AS38*AT38</f>
        <v/>
      </c>
      <c r="AV38" t="n">
        <v>270376.55</v>
      </c>
      <c r="AW38" t="n">
        <v>507</v>
      </c>
      <c r="AX38">
        <f>AV38*AW38</f>
        <v/>
      </c>
      <c r="AY38">
        <f>IFERROR(BA38/AZ38,0)</f>
        <v/>
      </c>
      <c r="AZ38">
        <f>SUM(P38,S38,V38,Y38,AB38,AE38,AH38,AK38,AN38,AQ38,AT38,AW38)</f>
        <v/>
      </c>
      <c r="BA38">
        <f>SUM(Q38,T38,W38,Z38,AC38,AF38,AI38,AL38,AO38,AR38,AU38,AX38)</f>
        <v/>
      </c>
      <c r="BB38">
        <f>AY38-L38</f>
        <v/>
      </c>
      <c r="BC38">
        <f>IFERROR(BB38/L38,0)</f>
        <v/>
      </c>
      <c r="BF38">
        <f>VLOOKUP("대리점"&amp;J38,인자!A:D,4,0)</f>
        <v/>
      </c>
    </row>
    <row r="39">
      <c r="A39" t="inlineStr">
        <is>
          <t>차량 영업부문</t>
        </is>
      </c>
      <c r="B39" t="inlineStr">
        <is>
          <t>차량 대리점</t>
        </is>
      </c>
      <c r="C39">
        <f>D39&amp;J39</f>
        <v/>
      </c>
      <c r="D39" t="n">
        <v>9048097</v>
      </c>
      <c r="E39" t="inlineStr">
        <is>
          <t>참좋은상사B</t>
        </is>
      </c>
      <c r="F39" t="n">
        <v>9048097</v>
      </c>
      <c r="G39" t="inlineStr">
        <is>
          <t>참좋은상사B</t>
        </is>
      </c>
      <c r="H39" t="inlineStr">
        <is>
          <t>황준서</t>
        </is>
      </c>
      <c r="I39" t="inlineStr">
        <is>
          <t>광주</t>
        </is>
      </c>
      <c r="J39" t="inlineStr">
        <is>
          <t>이륜용 상품</t>
        </is>
      </c>
      <c r="L39" t="n">
        <v>48924.76</v>
      </c>
      <c r="M39" t="n">
        <v>1582</v>
      </c>
      <c r="N39">
        <f>L39*M39</f>
        <v/>
      </c>
      <c r="O39" t="n">
        <v>50096.81</v>
      </c>
      <c r="P39" t="n">
        <v>1347</v>
      </c>
      <c r="Q39">
        <f>O39*P39</f>
        <v/>
      </c>
      <c r="R39" t="n">
        <v>47500.47</v>
      </c>
      <c r="S39" t="n">
        <v>1862</v>
      </c>
      <c r="T39">
        <f>R39*S39</f>
        <v/>
      </c>
      <c r="U39" t="n">
        <v>44805.48</v>
      </c>
      <c r="V39" t="n">
        <v>2018</v>
      </c>
      <c r="W39">
        <f>U39*V39</f>
        <v/>
      </c>
      <c r="X39" t="n">
        <v>48523.55</v>
      </c>
      <c r="Y39" t="n">
        <v>1338</v>
      </c>
      <c r="Z39">
        <f>X39*Y39</f>
        <v/>
      </c>
      <c r="AA39" t="n">
        <v>50854.71</v>
      </c>
      <c r="AB39" t="n">
        <v>1392</v>
      </c>
      <c r="AC39">
        <f>AA39*AB39</f>
        <v/>
      </c>
      <c r="AD39" t="n">
        <v>52134.83</v>
      </c>
      <c r="AE39" t="n">
        <v>1184</v>
      </c>
      <c r="AF39">
        <f>AD39*AE39</f>
        <v/>
      </c>
      <c r="AG39" t="n">
        <v>53735.77</v>
      </c>
      <c r="AH39" t="n">
        <v>1724</v>
      </c>
      <c r="AI39">
        <f>AG39*AH39</f>
        <v/>
      </c>
      <c r="AJ39" t="n">
        <v>44342.32</v>
      </c>
      <c r="AK39" t="n">
        <v>1492</v>
      </c>
      <c r="AL39">
        <f>AJ39*AK39</f>
        <v/>
      </c>
      <c r="AM39" t="n">
        <v>47722.87</v>
      </c>
      <c r="AN39" t="n">
        <v>1559</v>
      </c>
      <c r="AO39">
        <f>AM39*AN39</f>
        <v/>
      </c>
      <c r="AP39" t="n">
        <v>50262.83</v>
      </c>
      <c r="AQ39" t="n">
        <v>1775</v>
      </c>
      <c r="AR39">
        <f>AP39*AQ39</f>
        <v/>
      </c>
      <c r="AS39" t="n">
        <v>44841.36</v>
      </c>
      <c r="AT39" t="n">
        <v>1910</v>
      </c>
      <c r="AU39">
        <f>AS39*AT39</f>
        <v/>
      </c>
      <c r="AV39" t="n">
        <v>50342.67</v>
      </c>
      <c r="AW39" t="n">
        <v>1422</v>
      </c>
      <c r="AX39">
        <f>AV39*AW39</f>
        <v/>
      </c>
      <c r="AY39">
        <f>IFERROR(BA39/AZ39,0)</f>
        <v/>
      </c>
      <c r="AZ39">
        <f>SUM(P39,S39,V39,Y39,AB39,AE39,AH39,AK39,AN39,AQ39,AT39,AW39)</f>
        <v/>
      </c>
      <c r="BA39">
        <f>SUM(Q39,T39,W39,Z39,AC39,AF39,AI39,AL39,AO39,AR39,AU39,AX39)</f>
        <v/>
      </c>
      <c r="BB39">
        <f>AY39-L39</f>
        <v/>
      </c>
      <c r="BC39">
        <f>IFERROR(BB39/L39,0)</f>
        <v/>
      </c>
      <c r="BF39">
        <f>VLOOKUP("대리점"&amp;J39,인자!A:D,4,0)</f>
        <v/>
      </c>
    </row>
    <row r="40">
      <c r="A40" t="inlineStr">
        <is>
          <t>차량 영업부문</t>
        </is>
      </c>
      <c r="B40" t="inlineStr">
        <is>
          <t>차량 대리점</t>
        </is>
      </c>
      <c r="C40">
        <f>D40&amp;J40</f>
        <v/>
      </c>
      <c r="D40" t="n">
        <v>9048097</v>
      </c>
      <c r="E40" t="inlineStr">
        <is>
          <t>참좋은상사B</t>
        </is>
      </c>
      <c r="F40" t="n">
        <v>9048097</v>
      </c>
      <c r="G40" t="inlineStr">
        <is>
          <t>참좋은상사B</t>
        </is>
      </c>
      <c r="H40" t="inlineStr">
        <is>
          <t>황준서</t>
        </is>
      </c>
      <c r="I40" t="inlineStr">
        <is>
          <t>광주</t>
        </is>
      </c>
      <c r="J40" t="inlineStr">
        <is>
          <t>GB 농기계</t>
        </is>
      </c>
      <c r="L40" t="n">
        <v>67368.03</v>
      </c>
      <c r="M40" t="n">
        <v>4653</v>
      </c>
      <c r="N40">
        <f>L40*M40</f>
        <v/>
      </c>
      <c r="O40" t="n">
        <v>67037.92999999999</v>
      </c>
      <c r="P40" t="n">
        <v>3387</v>
      </c>
      <c r="Q40">
        <f>O40*P40</f>
        <v/>
      </c>
      <c r="R40" t="n">
        <v>61632.96</v>
      </c>
      <c r="S40" t="n">
        <v>5841</v>
      </c>
      <c r="T40">
        <f>R40*S40</f>
        <v/>
      </c>
      <c r="U40" t="n">
        <v>72748.2</v>
      </c>
      <c r="V40" t="n">
        <v>4830</v>
      </c>
      <c r="W40">
        <f>U40*V40</f>
        <v/>
      </c>
      <c r="X40" t="n">
        <v>61074.53</v>
      </c>
      <c r="Y40" t="n">
        <v>5850</v>
      </c>
      <c r="Z40">
        <f>X40*Y40</f>
        <v/>
      </c>
      <c r="AA40" t="n">
        <v>64868.47</v>
      </c>
      <c r="AB40" t="n">
        <v>5941</v>
      </c>
      <c r="AC40">
        <f>AA40*AB40</f>
        <v/>
      </c>
      <c r="AD40" t="n">
        <v>68540.72</v>
      </c>
      <c r="AE40" t="n">
        <v>5357</v>
      </c>
      <c r="AF40">
        <f>AD40*AE40</f>
        <v/>
      </c>
      <c r="AG40" t="n">
        <v>70234.02</v>
      </c>
      <c r="AH40" t="n">
        <v>4369</v>
      </c>
      <c r="AI40">
        <f>AG40*AH40</f>
        <v/>
      </c>
      <c r="AJ40" t="n">
        <v>61667.85</v>
      </c>
      <c r="AK40" t="n">
        <v>3711</v>
      </c>
      <c r="AL40">
        <f>AJ40*AK40</f>
        <v/>
      </c>
      <c r="AM40" t="n">
        <v>63871.25</v>
      </c>
      <c r="AN40" t="n">
        <v>5587</v>
      </c>
      <c r="AO40">
        <f>AM40*AN40</f>
        <v/>
      </c>
      <c r="AP40" t="n">
        <v>65874.57000000001</v>
      </c>
      <c r="AQ40" t="n">
        <v>5760</v>
      </c>
      <c r="AR40">
        <f>AP40*AQ40</f>
        <v/>
      </c>
      <c r="AS40" t="n">
        <v>65100.82</v>
      </c>
      <c r="AT40" t="n">
        <v>5367</v>
      </c>
      <c r="AU40">
        <f>AS40*AT40</f>
        <v/>
      </c>
      <c r="AV40" t="n">
        <v>62516.87</v>
      </c>
      <c r="AW40" t="n">
        <v>6017</v>
      </c>
      <c r="AX40">
        <f>AV40*AW40</f>
        <v/>
      </c>
      <c r="AY40">
        <f>IFERROR(BA40/AZ40,0)</f>
        <v/>
      </c>
      <c r="AZ40">
        <f>SUM(P40,S40,V40,Y40,AB40,AE40,AH40,AK40,AN40,AQ40,AT40,AW40)</f>
        <v/>
      </c>
      <c r="BA40">
        <f>SUM(Q40,T40,W40,Z40,AC40,AF40,AI40,AL40,AO40,AR40,AU40,AX40)</f>
        <v/>
      </c>
      <c r="BB40">
        <f>AY40-L40</f>
        <v/>
      </c>
      <c r="BC40">
        <f>IFERROR(BB40/L40,0)</f>
        <v/>
      </c>
      <c r="BF40">
        <f>VLOOKUP("대리점"&amp;J40,인자!A:D,4,0)</f>
        <v/>
      </c>
    </row>
    <row r="41">
      <c r="A41" t="inlineStr">
        <is>
          <t>차량 영업부문</t>
        </is>
      </c>
      <c r="B41" t="inlineStr">
        <is>
          <t>차량 대리점</t>
        </is>
      </c>
      <c r="C41">
        <f>D41&amp;J41</f>
        <v/>
      </c>
      <c r="D41" t="n">
        <v>9048097</v>
      </c>
      <c r="E41" t="inlineStr">
        <is>
          <t>참좋은상사B</t>
        </is>
      </c>
      <c r="F41" t="n">
        <v>9048097</v>
      </c>
      <c r="G41" t="inlineStr">
        <is>
          <t>참좋은상사B</t>
        </is>
      </c>
      <c r="H41" t="inlineStr">
        <is>
          <t>장수아</t>
        </is>
      </c>
      <c r="I41" t="inlineStr">
        <is>
          <t>창원</t>
        </is>
      </c>
      <c r="J41" t="inlineStr">
        <is>
          <t>AGM 3세대</t>
        </is>
      </c>
      <c r="L41" t="n">
        <v>33817.31</v>
      </c>
      <c r="M41" t="n">
        <v>1911</v>
      </c>
      <c r="N41">
        <f>L41*M41</f>
        <v/>
      </c>
      <c r="O41" t="n">
        <v>36107.92</v>
      </c>
      <c r="P41" t="n">
        <v>1728</v>
      </c>
      <c r="Q41">
        <f>O41*P41</f>
        <v/>
      </c>
      <c r="R41" t="n">
        <v>35636.72</v>
      </c>
      <c r="S41" t="n">
        <v>2433</v>
      </c>
      <c r="T41">
        <f>R41*S41</f>
        <v/>
      </c>
      <c r="U41" t="n">
        <v>33118.66</v>
      </c>
      <c r="V41" t="n">
        <v>2225</v>
      </c>
      <c r="W41">
        <f>U41*V41</f>
        <v/>
      </c>
      <c r="X41" t="n">
        <v>30635.95</v>
      </c>
      <c r="Y41" t="n">
        <v>1651</v>
      </c>
      <c r="Z41">
        <f>X41*Y41</f>
        <v/>
      </c>
      <c r="AA41" t="n">
        <v>37148.9</v>
      </c>
      <c r="AB41" t="n">
        <v>1900</v>
      </c>
      <c r="AC41">
        <f>AA41*AB41</f>
        <v/>
      </c>
      <c r="AD41" t="n">
        <v>32842.09</v>
      </c>
      <c r="AE41" t="n">
        <v>2417</v>
      </c>
      <c r="AF41">
        <f>AD41*AE41</f>
        <v/>
      </c>
      <c r="AG41" t="n">
        <v>33356.37</v>
      </c>
      <c r="AH41" t="n">
        <v>2117</v>
      </c>
      <c r="AI41">
        <f>AG41*AH41</f>
        <v/>
      </c>
      <c r="AJ41" t="n">
        <v>34904.01</v>
      </c>
      <c r="AK41" t="n">
        <v>1436</v>
      </c>
      <c r="AL41">
        <f>AJ41*AK41</f>
        <v/>
      </c>
      <c r="AM41" t="n">
        <v>34619.56</v>
      </c>
      <c r="AN41" t="n">
        <v>2253</v>
      </c>
      <c r="AO41">
        <f>AM41*AN41</f>
        <v/>
      </c>
      <c r="AP41" t="n">
        <v>35258.66</v>
      </c>
      <c r="AQ41" t="n">
        <v>1432</v>
      </c>
      <c r="AR41">
        <f>AP41*AQ41</f>
        <v/>
      </c>
      <c r="AS41" t="n">
        <v>31478.65</v>
      </c>
      <c r="AT41" t="n">
        <v>2154</v>
      </c>
      <c r="AU41">
        <f>AS41*AT41</f>
        <v/>
      </c>
      <c r="AV41" t="n">
        <v>34722.94</v>
      </c>
      <c r="AW41" t="n">
        <v>2186</v>
      </c>
      <c r="AX41">
        <f>AV41*AW41</f>
        <v/>
      </c>
      <c r="AY41">
        <f>IFERROR(BA41/AZ41,0)</f>
        <v/>
      </c>
      <c r="AZ41">
        <f>SUM(P41,S41,V41,Y41,AB41,AE41,AH41,AK41,AN41,AQ41,AT41,AW41)</f>
        <v/>
      </c>
      <c r="BA41">
        <f>SUM(Q41,T41,W41,Z41,AC41,AF41,AI41,AL41,AO41,AR41,AU41,AX41)</f>
        <v/>
      </c>
      <c r="BB41">
        <f>AY41-L41</f>
        <v/>
      </c>
      <c r="BC41">
        <f>IFERROR(BB41/L41,0)</f>
        <v/>
      </c>
      <c r="BF41">
        <f>VLOOKUP("대리점"&amp;J41,인자!A:D,4,0)</f>
        <v/>
      </c>
    </row>
    <row r="42">
      <c r="A42" t="inlineStr">
        <is>
          <t>차량 영업부문</t>
        </is>
      </c>
      <c r="B42" t="inlineStr">
        <is>
          <t>차량 대리점</t>
        </is>
      </c>
      <c r="C42">
        <f>D42&amp;J42</f>
        <v/>
      </c>
      <c r="D42" t="n">
        <v>9096427</v>
      </c>
      <c r="E42" t="inlineStr">
        <is>
          <t>가상상사F</t>
        </is>
      </c>
      <c r="F42" t="n">
        <v>9096427</v>
      </c>
      <c r="G42" t="inlineStr">
        <is>
          <t>가상상사F</t>
        </is>
      </c>
      <c r="H42" t="inlineStr">
        <is>
          <t>강시우</t>
        </is>
      </c>
      <c r="I42" t="inlineStr">
        <is>
          <t>광주</t>
        </is>
      </c>
      <c r="J42" t="inlineStr">
        <is>
          <t>PT(CA) 대형</t>
        </is>
      </c>
      <c r="L42" t="n">
        <v>6532.59</v>
      </c>
      <c r="M42" t="n">
        <v>2535</v>
      </c>
      <c r="N42">
        <f>L42*M42</f>
        <v/>
      </c>
      <c r="O42" t="n">
        <v>6460.39</v>
      </c>
      <c r="P42" t="n">
        <v>2933</v>
      </c>
      <c r="Q42">
        <f>O42*P42</f>
        <v/>
      </c>
      <c r="R42" t="n">
        <v>6012.9</v>
      </c>
      <c r="S42" t="n">
        <v>1907</v>
      </c>
      <c r="T42">
        <f>R42*S42</f>
        <v/>
      </c>
      <c r="U42" t="n">
        <v>6442.41</v>
      </c>
      <c r="V42" t="n">
        <v>2622</v>
      </c>
      <c r="W42">
        <f>U42*V42</f>
        <v/>
      </c>
      <c r="X42" t="n">
        <v>6548.84</v>
      </c>
      <c r="Y42" t="n">
        <v>1932</v>
      </c>
      <c r="Z42">
        <f>X42*Y42</f>
        <v/>
      </c>
      <c r="AA42" t="n">
        <v>5996.42</v>
      </c>
      <c r="AB42" t="n">
        <v>2617</v>
      </c>
      <c r="AC42">
        <f>AA42*AB42</f>
        <v/>
      </c>
      <c r="AD42" t="n">
        <v>6659.22</v>
      </c>
      <c r="AE42" t="n">
        <v>2968</v>
      </c>
      <c r="AF42">
        <f>AD42*AE42</f>
        <v/>
      </c>
      <c r="AG42" t="n">
        <v>7007.79</v>
      </c>
      <c r="AH42" t="n">
        <v>1793</v>
      </c>
      <c r="AI42">
        <f>AG42*AH42</f>
        <v/>
      </c>
      <c r="AJ42" t="n">
        <v>6419.98</v>
      </c>
      <c r="AK42" t="n">
        <v>2960</v>
      </c>
      <c r="AL42">
        <f>AJ42*AK42</f>
        <v/>
      </c>
      <c r="AM42" t="n">
        <v>6826.35</v>
      </c>
      <c r="AN42" t="n">
        <v>2626</v>
      </c>
      <c r="AO42">
        <f>AM42*AN42</f>
        <v/>
      </c>
      <c r="AP42" t="n">
        <v>7176.35</v>
      </c>
      <c r="AQ42" t="n">
        <v>2144</v>
      </c>
      <c r="AR42">
        <f>AP42*AQ42</f>
        <v/>
      </c>
      <c r="AS42" t="n">
        <v>6560.16</v>
      </c>
      <c r="AT42" t="n">
        <v>2817</v>
      </c>
      <c r="AU42">
        <f>AS42*AT42</f>
        <v/>
      </c>
      <c r="AV42" t="n">
        <v>6100.79</v>
      </c>
      <c r="AW42" t="n">
        <v>2184</v>
      </c>
      <c r="AX42">
        <f>AV42*AW42</f>
        <v/>
      </c>
      <c r="AY42">
        <f>IFERROR(BA42/AZ42,0)</f>
        <v/>
      </c>
      <c r="AZ42">
        <f>SUM(P42,S42,V42,Y42,AB42,AE42,AH42,AK42,AN42,AQ42,AT42,AW42)</f>
        <v/>
      </c>
      <c r="BA42">
        <f>SUM(Q42,T42,W42,Z42,AC42,AF42,AI42,AL42,AO42,AR42,AU42,AX42)</f>
        <v/>
      </c>
      <c r="BB42">
        <f>AY42-L42</f>
        <v/>
      </c>
      <c r="BC42">
        <f>IFERROR(BB42/L42,0)</f>
        <v/>
      </c>
      <c r="BF42">
        <f>VLOOKUP("대리점"&amp;J42,인자!A:D,4,0)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42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</cols>
  <sheetData>
    <row r="2">
      <c r="A2" s="1" t="inlineStr">
        <is>
          <t xml:space="preserve"> 2026년 차량OE 판매계획 (더미데이터)</t>
        </is>
      </c>
    </row>
    <row r="6">
      <c r="A6" s="2" t="inlineStr">
        <is>
          <t>1. 기본정보</t>
        </is>
      </c>
    </row>
    <row r="7">
      <c r="A7" s="3" t="inlineStr">
        <is>
          <t>구분</t>
        </is>
      </c>
      <c r="B7" s="3" t="inlineStr">
        <is>
          <t>25년 8월 누계</t>
        </is>
      </c>
      <c r="C7" s="3" t="inlineStr">
        <is>
          <t>26년 경영계획</t>
        </is>
      </c>
      <c r="D7" s="3" t="inlineStr">
        <is>
          <t>증감율</t>
        </is>
      </c>
    </row>
    <row r="8">
      <c r="A8" t="inlineStr">
        <is>
          <t>LME</t>
        </is>
      </c>
      <c r="B8" t="n">
        <v>1907.36</v>
      </c>
      <c r="C8" t="n">
        <v>1858.37</v>
      </c>
      <c r="D8">
        <f>C8/B8-1</f>
        <v/>
      </c>
    </row>
    <row r="9">
      <c r="A9" t="inlineStr">
        <is>
          <t>USD</t>
        </is>
      </c>
      <c r="B9" t="n">
        <v>1333.44</v>
      </c>
      <c r="C9" t="n">
        <v>1355.19</v>
      </c>
      <c r="D9">
        <f>C9/B9-1</f>
        <v/>
      </c>
    </row>
    <row r="10">
      <c r="A10" t="inlineStr">
        <is>
          <t>지수</t>
        </is>
      </c>
      <c r="B10">
        <f>B8*B9/1000</f>
        <v/>
      </c>
      <c r="C10">
        <f>C8*C9/1000</f>
        <v/>
      </c>
      <c r="D10">
        <f>C10/B10-1</f>
        <v/>
      </c>
      <c r="I10" t="inlineStr">
        <is>
          <t>※ 더미데이터 안내</t>
        </is>
      </c>
    </row>
    <row r="11">
      <c r="A11" t="inlineStr">
        <is>
          <t>JPY</t>
        </is>
      </c>
      <c r="B11" t="n">
        <v>944.96</v>
      </c>
      <c r="C11" t="n">
        <v>1017.4</v>
      </c>
      <c r="D11">
        <f>C11/B11-1</f>
        <v/>
      </c>
      <c r="I11" t="inlineStr">
        <is>
          <t>- 본 파일은 판매계획 양식.xlsx의 스키마(시트/컬럼/수식 구조)를 참고하여 생성한 가상 데이터입니다.</t>
        </is>
      </c>
    </row>
    <row r="12">
      <c r="A12" t="inlineStr">
        <is>
          <t>EUR</t>
        </is>
      </c>
      <c r="B12" t="n">
        <v>1554.17</v>
      </c>
      <c r="C12" t="n">
        <v>1641.63</v>
      </c>
      <c r="D12">
        <f>C12/B12-1</f>
        <v/>
      </c>
      <c r="I12" t="inlineStr">
        <is>
          <t>- 거래처명, 담당자명, 코드, 수량/금액은 전부 무작위로 생성된 값이며 실제 데이터와 무관합니다.</t>
        </is>
      </c>
    </row>
    <row r="15">
      <c r="A15" t="inlineStr">
        <is>
          <t>2026년 판매계획 (더미데이터) - 담당/거래처/수량/금액은 모두 가상 값</t>
        </is>
      </c>
    </row>
    <row r="16">
      <c r="A16" t="inlineStr">
        <is>
          <t>구분</t>
        </is>
      </c>
      <c r="L16" t="inlineStr">
        <is>
          <t>25년 8월 누계</t>
        </is>
      </c>
      <c r="O16" t="inlineStr">
        <is>
          <t>1월</t>
        </is>
      </c>
      <c r="R16" t="inlineStr">
        <is>
          <t>2월</t>
        </is>
      </c>
      <c r="U16" t="inlineStr">
        <is>
          <t>3월</t>
        </is>
      </c>
      <c r="X16" t="inlineStr">
        <is>
          <t>4월</t>
        </is>
      </c>
      <c r="AA16" t="inlineStr">
        <is>
          <t>5월</t>
        </is>
      </c>
      <c r="AD16" t="inlineStr">
        <is>
          <t>6월</t>
        </is>
      </c>
      <c r="AG16" t="inlineStr">
        <is>
          <t>7월</t>
        </is>
      </c>
      <c r="AJ16" t="inlineStr">
        <is>
          <t>8월</t>
        </is>
      </c>
      <c r="AM16" t="inlineStr">
        <is>
          <t>9월</t>
        </is>
      </c>
      <c r="AP16" t="inlineStr">
        <is>
          <t>10월</t>
        </is>
      </c>
      <c r="AS16" t="inlineStr">
        <is>
          <t>11월</t>
        </is>
      </c>
      <c r="AV16" t="inlineStr">
        <is>
          <t>12월</t>
        </is>
      </c>
    </row>
    <row r="17">
      <c r="A17" s="4" t="inlineStr">
        <is>
          <t>담당</t>
        </is>
      </c>
      <c r="B17" s="4" t="inlineStr">
        <is>
          <t>팀</t>
        </is>
      </c>
      <c r="C17" s="4" t="inlineStr">
        <is>
          <t>유통채널</t>
        </is>
      </c>
      <c r="D17" s="4" t="inlineStr">
        <is>
          <t>고객</t>
        </is>
      </c>
      <c r="E17" s="4" t="inlineStr">
        <is>
          <t>고객명</t>
        </is>
      </c>
      <c r="F17" s="4" t="inlineStr">
        <is>
          <t>납품처</t>
        </is>
      </c>
      <c r="G17" s="4" t="inlineStr">
        <is>
          <t>납품처명</t>
        </is>
      </c>
      <c r="H17" s="4" t="inlineStr">
        <is>
          <t>영업담당</t>
        </is>
      </c>
      <c r="I17" s="4" t="inlineStr">
        <is>
          <t>구분</t>
        </is>
      </c>
      <c r="J17" s="4" t="inlineStr">
        <is>
          <t>제품군 구분</t>
        </is>
      </c>
      <c r="K17" s="4" t="inlineStr">
        <is>
          <t>제품코드</t>
        </is>
      </c>
      <c r="L17" s="4" t="inlineStr">
        <is>
          <t>판가</t>
        </is>
      </c>
      <c r="M17" s="4" t="inlineStr">
        <is>
          <t>수량</t>
        </is>
      </c>
      <c r="N17" s="4" t="inlineStr">
        <is>
          <t>금액</t>
        </is>
      </c>
      <c r="O17" s="4" t="inlineStr">
        <is>
          <t>1월 판가</t>
        </is>
      </c>
      <c r="P17" s="4" t="inlineStr">
        <is>
          <t>1월 수량</t>
        </is>
      </c>
      <c r="Q17" s="4" t="inlineStr">
        <is>
          <t>1월 금액</t>
        </is>
      </c>
      <c r="R17" s="4" t="inlineStr">
        <is>
          <t>2월 판가</t>
        </is>
      </c>
      <c r="S17" s="4" t="inlineStr">
        <is>
          <t>2월 수량</t>
        </is>
      </c>
      <c r="T17" s="4" t="inlineStr">
        <is>
          <t>2월 금액</t>
        </is>
      </c>
      <c r="U17" s="4" t="inlineStr">
        <is>
          <t>3월 판가</t>
        </is>
      </c>
      <c r="V17" s="4" t="inlineStr">
        <is>
          <t>3월 수량</t>
        </is>
      </c>
      <c r="W17" s="4" t="inlineStr">
        <is>
          <t>3월 금액</t>
        </is>
      </c>
      <c r="X17" s="4" t="inlineStr">
        <is>
          <t>4월 판가</t>
        </is>
      </c>
      <c r="Y17" s="4" t="inlineStr">
        <is>
          <t>4월 수량</t>
        </is>
      </c>
      <c r="Z17" s="4" t="inlineStr">
        <is>
          <t>4월 금액</t>
        </is>
      </c>
      <c r="AA17" s="4" t="inlineStr">
        <is>
          <t>5월 판가</t>
        </is>
      </c>
      <c r="AB17" s="4" t="inlineStr">
        <is>
          <t>5월 수량</t>
        </is>
      </c>
      <c r="AC17" s="4" t="inlineStr">
        <is>
          <t>5월 금액</t>
        </is>
      </c>
      <c r="AD17" s="4" t="inlineStr">
        <is>
          <t>6월 판가</t>
        </is>
      </c>
      <c r="AE17" s="4" t="inlineStr">
        <is>
          <t>6월 수량</t>
        </is>
      </c>
      <c r="AF17" s="4" t="inlineStr">
        <is>
          <t>6월 금액</t>
        </is>
      </c>
      <c r="AG17" s="4" t="inlineStr">
        <is>
          <t>7월 판가</t>
        </is>
      </c>
      <c r="AH17" s="4" t="inlineStr">
        <is>
          <t>7월 수량</t>
        </is>
      </c>
      <c r="AI17" s="4" t="inlineStr">
        <is>
          <t>7월 금액</t>
        </is>
      </c>
      <c r="AJ17" s="4" t="inlineStr">
        <is>
          <t>8월 판가</t>
        </is>
      </c>
      <c r="AK17" s="4" t="inlineStr">
        <is>
          <t>8월 수량</t>
        </is>
      </c>
      <c r="AL17" s="4" t="inlineStr">
        <is>
          <t>8월 금액</t>
        </is>
      </c>
      <c r="AM17" s="4" t="inlineStr">
        <is>
          <t>9월 판가</t>
        </is>
      </c>
      <c r="AN17" s="4" t="inlineStr">
        <is>
          <t>9월 수량</t>
        </is>
      </c>
      <c r="AO17" s="4" t="inlineStr">
        <is>
          <t>9월 금액</t>
        </is>
      </c>
      <c r="AP17" s="4" t="inlineStr">
        <is>
          <t>10월 판가</t>
        </is>
      </c>
      <c r="AQ17" s="4" t="inlineStr">
        <is>
          <t>10월 수량</t>
        </is>
      </c>
      <c r="AR17" s="4" t="inlineStr">
        <is>
          <t>10월 금액</t>
        </is>
      </c>
      <c r="AS17" s="4" t="inlineStr">
        <is>
          <t>11월 판가</t>
        </is>
      </c>
      <c r="AT17" s="4" t="inlineStr">
        <is>
          <t>11월 수량</t>
        </is>
      </c>
      <c r="AU17" s="4" t="inlineStr">
        <is>
          <t>11월 금액</t>
        </is>
      </c>
      <c r="AV17" s="4" t="inlineStr">
        <is>
          <t>12월 판가</t>
        </is>
      </c>
      <c r="AW17" s="4" t="inlineStr">
        <is>
          <t>12월 수량</t>
        </is>
      </c>
      <c r="AX17" s="4" t="inlineStr">
        <is>
          <t>12월 금액</t>
        </is>
      </c>
      <c r="AY17" s="4" t="inlineStr">
        <is>
          <t>연평균판가</t>
        </is>
      </c>
      <c r="AZ17" s="4" t="inlineStr">
        <is>
          <t>연간수량합계</t>
        </is>
      </c>
      <c r="BA17" s="4" t="inlineStr">
        <is>
          <t>연간금액합계</t>
        </is>
      </c>
      <c r="BB17" s="4" t="inlineStr">
        <is>
          <t>판가차이</t>
        </is>
      </c>
      <c r="BC17" s="4" t="inlineStr">
        <is>
          <t>차이율</t>
        </is>
      </c>
      <c r="BD17" s="4" t="inlineStr">
        <is>
          <t>비고</t>
        </is>
      </c>
      <c r="BF17" s="4" t="inlineStr">
        <is>
          <t>본부보고용(제품군 매핑)</t>
        </is>
      </c>
    </row>
    <row r="18">
      <c r="A18" t="inlineStr">
        <is>
          <t>차량 영업부문</t>
        </is>
      </c>
      <c r="B18" t="inlineStr">
        <is>
          <t>차량 OE</t>
        </is>
      </c>
      <c r="C18">
        <f>D18&amp;J18</f>
        <v/>
      </c>
      <c r="D18" t="n">
        <v>9043194</v>
      </c>
      <c r="E18" t="inlineStr">
        <is>
          <t>미래모터스H</t>
        </is>
      </c>
      <c r="F18" t="n">
        <v>9043194</v>
      </c>
      <c r="G18" t="inlineStr">
        <is>
          <t>미래모터스H</t>
        </is>
      </c>
      <c r="H18" t="inlineStr">
        <is>
          <t>강시우</t>
        </is>
      </c>
      <c r="I18" t="inlineStr">
        <is>
          <t>창원</t>
        </is>
      </c>
      <c r="J18" t="inlineStr">
        <is>
          <t>PT(SB)</t>
        </is>
      </c>
      <c r="K18" t="inlineStr">
        <is>
          <t>DUM95332</t>
        </is>
      </c>
      <c r="L18" t="n">
        <v>292396.49</v>
      </c>
      <c r="M18" t="n">
        <v>1125</v>
      </c>
      <c r="N18">
        <f>L18*M18</f>
        <v/>
      </c>
      <c r="O18" t="n">
        <v>280726.09</v>
      </c>
      <c r="P18" t="n">
        <v>1195</v>
      </c>
      <c r="Q18">
        <f>O18*P18</f>
        <v/>
      </c>
      <c r="R18" t="n">
        <v>303817.05</v>
      </c>
      <c r="S18" t="n">
        <v>1111</v>
      </c>
      <c r="T18">
        <f>R18*S18</f>
        <v/>
      </c>
      <c r="U18" t="n">
        <v>273544.94</v>
      </c>
      <c r="V18" t="n">
        <v>1056</v>
      </c>
      <c r="W18">
        <f>U18*V18</f>
        <v/>
      </c>
      <c r="X18" t="n">
        <v>281819.79</v>
      </c>
      <c r="Y18" t="n">
        <v>1284</v>
      </c>
      <c r="Z18">
        <f>X18*Y18</f>
        <v/>
      </c>
      <c r="AA18" t="n">
        <v>300168.53</v>
      </c>
      <c r="AB18" t="n">
        <v>1441</v>
      </c>
      <c r="AC18">
        <f>AA18*AB18</f>
        <v/>
      </c>
      <c r="AD18" t="n">
        <v>308886.15</v>
      </c>
      <c r="AE18" t="n">
        <v>1007</v>
      </c>
      <c r="AF18">
        <f>AD18*AE18</f>
        <v/>
      </c>
      <c r="AG18" t="n">
        <v>279548.6</v>
      </c>
      <c r="AH18" t="n">
        <v>1318</v>
      </c>
      <c r="AI18">
        <f>AG18*AH18</f>
        <v/>
      </c>
      <c r="AJ18" t="n">
        <v>284502.69</v>
      </c>
      <c r="AK18" t="n">
        <v>1417</v>
      </c>
      <c r="AL18">
        <f>AJ18*AK18</f>
        <v/>
      </c>
      <c r="AM18" t="n">
        <v>274841.01</v>
      </c>
      <c r="AN18" t="n">
        <v>1461</v>
      </c>
      <c r="AO18">
        <f>AM18*AN18</f>
        <v/>
      </c>
      <c r="AP18" t="n">
        <v>273678.86</v>
      </c>
      <c r="AQ18" t="n">
        <v>1306</v>
      </c>
      <c r="AR18">
        <f>AP18*AQ18</f>
        <v/>
      </c>
      <c r="AS18" t="n">
        <v>264730.88</v>
      </c>
      <c r="AT18" t="n">
        <v>1278</v>
      </c>
      <c r="AU18">
        <f>AS18*AT18</f>
        <v/>
      </c>
      <c r="AV18" t="n">
        <v>318301.35</v>
      </c>
      <c r="AW18" t="n">
        <v>929</v>
      </c>
      <c r="AX18">
        <f>AV18*AW18</f>
        <v/>
      </c>
      <c r="AY18">
        <f>IFERROR(BA18/AZ18,0)</f>
        <v/>
      </c>
      <c r="AZ18">
        <f>SUM(P18,S18,V18,Y18,AB18,AE18,AH18,AK18,AN18,AQ18,AT18,AW18)</f>
        <v/>
      </c>
      <c r="BA18">
        <f>SUM(Q18,T18,W18,Z18,AC18,AF18,AI18,AL18,AO18,AR18,AU18,AX18)</f>
        <v/>
      </c>
      <c r="BB18">
        <f>AY18-L18</f>
        <v/>
      </c>
      <c r="BC18">
        <f>IFERROR(BB18/L18,0)</f>
        <v/>
      </c>
      <c r="BF18">
        <f>VLOOKUP("차량OE"&amp;J18,인자!A:D,4,0)</f>
        <v/>
      </c>
    </row>
    <row r="19">
      <c r="A19" t="inlineStr">
        <is>
          <t>차량 영업부문</t>
        </is>
      </c>
      <c r="B19" t="inlineStr">
        <is>
          <t>차량 OE</t>
        </is>
      </c>
      <c r="C19">
        <f>D19&amp;J19</f>
        <v/>
      </c>
      <c r="D19" t="n">
        <v>9039933</v>
      </c>
      <c r="E19" t="inlineStr">
        <is>
          <t>드림배터리E</t>
        </is>
      </c>
      <c r="F19" t="n">
        <v>9039933</v>
      </c>
      <c r="G19" t="inlineStr">
        <is>
          <t>드림배터리E</t>
        </is>
      </c>
      <c r="H19" t="inlineStr">
        <is>
          <t>권나윤</t>
        </is>
      </c>
      <c r="I19" t="inlineStr">
        <is>
          <t>광주</t>
        </is>
      </c>
      <c r="J19" t="inlineStr">
        <is>
          <t>PT(SB)</t>
        </is>
      </c>
      <c r="K19" t="inlineStr">
        <is>
          <t>DUM63627</t>
        </is>
      </c>
      <c r="L19" t="n">
        <v>203528.41</v>
      </c>
      <c r="M19" t="n">
        <v>1150</v>
      </c>
      <c r="N19">
        <f>L19*M19</f>
        <v/>
      </c>
      <c r="O19" t="n">
        <v>208955.94</v>
      </c>
      <c r="P19" t="n">
        <v>972</v>
      </c>
      <c r="Q19">
        <f>O19*P19</f>
        <v/>
      </c>
      <c r="R19" t="n">
        <v>209986.89</v>
      </c>
      <c r="S19" t="n">
        <v>1299</v>
      </c>
      <c r="T19">
        <f>R19*S19</f>
        <v/>
      </c>
      <c r="U19" t="n">
        <v>215295.48</v>
      </c>
      <c r="V19" t="n">
        <v>856</v>
      </c>
      <c r="W19">
        <f>U19*V19</f>
        <v/>
      </c>
      <c r="X19" t="n">
        <v>223502.71</v>
      </c>
      <c r="Y19" t="n">
        <v>1136</v>
      </c>
      <c r="Z19">
        <f>X19*Y19</f>
        <v/>
      </c>
      <c r="AA19" t="n">
        <v>199490.61</v>
      </c>
      <c r="AB19" t="n">
        <v>1155</v>
      </c>
      <c r="AC19">
        <f>AA19*AB19</f>
        <v/>
      </c>
      <c r="AD19" t="n">
        <v>220640.76</v>
      </c>
      <c r="AE19" t="n">
        <v>1282</v>
      </c>
      <c r="AF19">
        <f>AD19*AE19</f>
        <v/>
      </c>
      <c r="AG19" t="n">
        <v>205305.02</v>
      </c>
      <c r="AH19" t="n">
        <v>1351</v>
      </c>
      <c r="AI19">
        <f>AG19*AH19</f>
        <v/>
      </c>
      <c r="AJ19" t="n">
        <v>197810.46</v>
      </c>
      <c r="AK19" t="n">
        <v>1423</v>
      </c>
      <c r="AL19">
        <f>AJ19*AK19</f>
        <v/>
      </c>
      <c r="AM19" t="n">
        <v>205030.69</v>
      </c>
      <c r="AN19" t="n">
        <v>1245</v>
      </c>
      <c r="AO19">
        <f>AM19*AN19</f>
        <v/>
      </c>
      <c r="AP19" t="n">
        <v>186634.82</v>
      </c>
      <c r="AQ19" t="n">
        <v>1336</v>
      </c>
      <c r="AR19">
        <f>AP19*AQ19</f>
        <v/>
      </c>
      <c r="AS19" t="n">
        <v>209943.69</v>
      </c>
      <c r="AT19" t="n">
        <v>1050</v>
      </c>
      <c r="AU19">
        <f>AS19*AT19</f>
        <v/>
      </c>
      <c r="AV19" t="n">
        <v>209512.14</v>
      </c>
      <c r="AW19" t="n">
        <v>836</v>
      </c>
      <c r="AX19">
        <f>AV19*AW19</f>
        <v/>
      </c>
      <c r="AY19">
        <f>IFERROR(BA19/AZ19,0)</f>
        <v/>
      </c>
      <c r="AZ19">
        <f>SUM(P19,S19,V19,Y19,AB19,AE19,AH19,AK19,AN19,AQ19,AT19,AW19)</f>
        <v/>
      </c>
      <c r="BA19">
        <f>SUM(Q19,T19,W19,Z19,AC19,AF19,AI19,AL19,AO19,AR19,AU19,AX19)</f>
        <v/>
      </c>
      <c r="BB19">
        <f>AY19-L19</f>
        <v/>
      </c>
      <c r="BC19">
        <f>IFERROR(BB19/L19,0)</f>
        <v/>
      </c>
      <c r="BF19">
        <f>VLOOKUP("차량OE"&amp;J19,인자!A:D,4,0)</f>
        <v/>
      </c>
    </row>
    <row r="20">
      <c r="A20" t="inlineStr">
        <is>
          <t>차량 영업부문</t>
        </is>
      </c>
      <c r="B20" t="inlineStr">
        <is>
          <t>차량 OE</t>
        </is>
      </c>
      <c r="C20">
        <f>D20&amp;J20</f>
        <v/>
      </c>
      <c r="D20" t="n">
        <v>9081290</v>
      </c>
      <c r="E20" t="inlineStr">
        <is>
          <t>대한상용G</t>
        </is>
      </c>
      <c r="F20" t="n">
        <v>9081290</v>
      </c>
      <c r="G20" t="inlineStr">
        <is>
          <t>대한상용G</t>
        </is>
      </c>
      <c r="H20" t="inlineStr">
        <is>
          <t>신태양</t>
        </is>
      </c>
      <c r="I20" t="inlineStr">
        <is>
          <t>창원</t>
        </is>
      </c>
      <c r="J20" t="inlineStr">
        <is>
          <t>차량용 대형 PH</t>
        </is>
      </c>
      <c r="K20" t="inlineStr">
        <is>
          <t>DUM66420</t>
        </is>
      </c>
      <c r="L20" t="n">
        <v>36253.64</v>
      </c>
      <c r="M20" t="n">
        <v>817</v>
      </c>
      <c r="N20">
        <f>L20*M20</f>
        <v/>
      </c>
      <c r="O20" t="n">
        <v>34504.32</v>
      </c>
      <c r="P20" t="n">
        <v>822</v>
      </c>
      <c r="Q20">
        <f>O20*P20</f>
        <v/>
      </c>
      <c r="R20" t="n">
        <v>36389.94</v>
      </c>
      <c r="S20" t="n">
        <v>856</v>
      </c>
      <c r="T20">
        <f>R20*S20</f>
        <v/>
      </c>
      <c r="U20" t="n">
        <v>36799.15</v>
      </c>
      <c r="V20" t="n">
        <v>790</v>
      </c>
      <c r="W20">
        <f>U20*V20</f>
        <v/>
      </c>
      <c r="X20" t="n">
        <v>35464.28</v>
      </c>
      <c r="Y20" t="n">
        <v>951</v>
      </c>
      <c r="Z20">
        <f>X20*Y20</f>
        <v/>
      </c>
      <c r="AA20" t="n">
        <v>36895.98</v>
      </c>
      <c r="AB20" t="n">
        <v>817</v>
      </c>
      <c r="AC20">
        <f>AA20*AB20</f>
        <v/>
      </c>
      <c r="AD20" t="n">
        <v>35129.54</v>
      </c>
      <c r="AE20" t="n">
        <v>584</v>
      </c>
      <c r="AF20">
        <f>AD20*AE20</f>
        <v/>
      </c>
      <c r="AG20" t="n">
        <v>33386.33</v>
      </c>
      <c r="AH20" t="n">
        <v>776</v>
      </c>
      <c r="AI20">
        <f>AG20*AH20</f>
        <v/>
      </c>
      <c r="AJ20" t="n">
        <v>39601.5</v>
      </c>
      <c r="AK20" t="n">
        <v>629</v>
      </c>
      <c r="AL20">
        <f>AJ20*AK20</f>
        <v/>
      </c>
      <c r="AM20" t="n">
        <v>39448.86</v>
      </c>
      <c r="AN20" t="n">
        <v>641</v>
      </c>
      <c r="AO20">
        <f>AM20*AN20</f>
        <v/>
      </c>
      <c r="AP20" t="n">
        <v>34889.71</v>
      </c>
      <c r="AQ20" t="n">
        <v>795</v>
      </c>
      <c r="AR20">
        <f>AP20*AQ20</f>
        <v/>
      </c>
      <c r="AS20" t="n">
        <v>34128.21</v>
      </c>
      <c r="AT20" t="n">
        <v>809</v>
      </c>
      <c r="AU20">
        <f>AS20*AT20</f>
        <v/>
      </c>
      <c r="AV20" t="n">
        <v>36080.8</v>
      </c>
      <c r="AW20" t="n">
        <v>787</v>
      </c>
      <c r="AX20">
        <f>AV20*AW20</f>
        <v/>
      </c>
      <c r="AY20">
        <f>IFERROR(BA20/AZ20,0)</f>
        <v/>
      </c>
      <c r="AZ20">
        <f>SUM(P20,S20,V20,Y20,AB20,AE20,AH20,AK20,AN20,AQ20,AT20,AW20)</f>
        <v/>
      </c>
      <c r="BA20">
        <f>SUM(Q20,T20,W20,Z20,AC20,AF20,AI20,AL20,AO20,AR20,AU20,AX20)</f>
        <v/>
      </c>
      <c r="BB20">
        <f>AY20-L20</f>
        <v/>
      </c>
      <c r="BC20">
        <f>IFERROR(BB20/L20,0)</f>
        <v/>
      </c>
      <c r="BF20">
        <f>VLOOKUP("차량OE"&amp;J20,인자!A:D,4,0)</f>
        <v/>
      </c>
    </row>
    <row r="21">
      <c r="A21" t="inlineStr">
        <is>
          <t>차량 영업부문</t>
        </is>
      </c>
      <c r="B21" t="inlineStr">
        <is>
          <t>차량 OE</t>
        </is>
      </c>
      <c r="C21">
        <f>D21&amp;J21</f>
        <v/>
      </c>
      <c r="D21" t="n">
        <v>9043194</v>
      </c>
      <c r="E21" t="inlineStr">
        <is>
          <t>미래모터스H</t>
        </is>
      </c>
      <c r="F21" t="n">
        <v>9043194</v>
      </c>
      <c r="G21" t="inlineStr">
        <is>
          <t>미래모터스H</t>
        </is>
      </c>
      <c r="H21" t="inlineStr">
        <is>
          <t>강시우</t>
        </is>
      </c>
      <c r="I21" t="inlineStr">
        <is>
          <t>광주</t>
        </is>
      </c>
      <c r="J21" t="inlineStr">
        <is>
          <t>MF 중형 EXP</t>
        </is>
      </c>
      <c r="K21" t="inlineStr">
        <is>
          <t>DUM15856</t>
        </is>
      </c>
      <c r="L21" t="n">
        <v>244004.85</v>
      </c>
      <c r="M21" t="n">
        <v>952</v>
      </c>
      <c r="N21">
        <f>L21*M21</f>
        <v/>
      </c>
      <c r="O21" t="n">
        <v>220706.54</v>
      </c>
      <c r="P21" t="n">
        <v>862</v>
      </c>
      <c r="Q21">
        <f>O21*P21</f>
        <v/>
      </c>
      <c r="R21" t="n">
        <v>224941.37</v>
      </c>
      <c r="S21" t="n">
        <v>1123</v>
      </c>
      <c r="T21">
        <f>R21*S21</f>
        <v/>
      </c>
      <c r="U21" t="n">
        <v>264985.48</v>
      </c>
      <c r="V21" t="n">
        <v>1089</v>
      </c>
      <c r="W21">
        <f>U21*V21</f>
        <v/>
      </c>
      <c r="X21" t="n">
        <v>244785.37</v>
      </c>
      <c r="Y21" t="n">
        <v>982</v>
      </c>
      <c r="Z21">
        <f>X21*Y21</f>
        <v/>
      </c>
      <c r="AA21" t="n">
        <v>235756.98</v>
      </c>
      <c r="AB21" t="n">
        <v>910</v>
      </c>
      <c r="AC21">
        <f>AA21*AB21</f>
        <v/>
      </c>
      <c r="AD21" t="n">
        <v>242153.06</v>
      </c>
      <c r="AE21" t="n">
        <v>1122</v>
      </c>
      <c r="AF21">
        <f>AD21*AE21</f>
        <v/>
      </c>
      <c r="AG21" t="n">
        <v>250337.28</v>
      </c>
      <c r="AH21" t="n">
        <v>773</v>
      </c>
      <c r="AI21">
        <f>AG21*AH21</f>
        <v/>
      </c>
      <c r="AJ21" t="n">
        <v>251681.63</v>
      </c>
      <c r="AK21" t="n">
        <v>892</v>
      </c>
      <c r="AL21">
        <f>AJ21*AK21</f>
        <v/>
      </c>
      <c r="AM21" t="n">
        <v>255589.63</v>
      </c>
      <c r="AN21" t="n">
        <v>1171</v>
      </c>
      <c r="AO21">
        <f>AM21*AN21</f>
        <v/>
      </c>
      <c r="AP21" t="n">
        <v>241544.06</v>
      </c>
      <c r="AQ21" t="n">
        <v>912</v>
      </c>
      <c r="AR21">
        <f>AP21*AQ21</f>
        <v/>
      </c>
      <c r="AS21" t="n">
        <v>219821.53</v>
      </c>
      <c r="AT21" t="n">
        <v>789</v>
      </c>
      <c r="AU21">
        <f>AS21*AT21</f>
        <v/>
      </c>
      <c r="AV21" t="n">
        <v>233187.86</v>
      </c>
      <c r="AW21" t="n">
        <v>1068</v>
      </c>
      <c r="AX21">
        <f>AV21*AW21</f>
        <v/>
      </c>
      <c r="AY21">
        <f>IFERROR(BA21/AZ21,0)</f>
        <v/>
      </c>
      <c r="AZ21">
        <f>SUM(P21,S21,V21,Y21,AB21,AE21,AH21,AK21,AN21,AQ21,AT21,AW21)</f>
        <v/>
      </c>
      <c r="BA21">
        <f>SUM(Q21,T21,W21,Z21,AC21,AF21,AI21,AL21,AO21,AR21,AU21,AX21)</f>
        <v/>
      </c>
      <c r="BB21">
        <f>AY21-L21</f>
        <v/>
      </c>
      <c r="BC21">
        <f>IFERROR(BB21/L21,0)</f>
        <v/>
      </c>
      <c r="BF21">
        <f>VLOOKUP("차량OE"&amp;J21,인자!A:D,4,0)</f>
        <v/>
      </c>
    </row>
    <row r="22">
      <c r="A22" t="inlineStr">
        <is>
          <t>차량 영업부문</t>
        </is>
      </c>
      <c r="B22" t="inlineStr">
        <is>
          <t>차량 OE</t>
        </is>
      </c>
      <c r="C22">
        <f>D22&amp;J22</f>
        <v/>
      </c>
      <c r="D22" t="n">
        <v>9077832</v>
      </c>
      <c r="E22" t="inlineStr">
        <is>
          <t>우리전지B</t>
        </is>
      </c>
      <c r="F22" t="n">
        <v>9077832</v>
      </c>
      <c r="G22" t="inlineStr">
        <is>
          <t>우리전지B</t>
        </is>
      </c>
      <c r="H22" t="inlineStr">
        <is>
          <t>임도현</t>
        </is>
      </c>
      <c r="I22" t="inlineStr">
        <is>
          <t>광주</t>
        </is>
      </c>
      <c r="J22" t="inlineStr">
        <is>
          <t>차량용 대형 PH</t>
        </is>
      </c>
      <c r="K22" t="inlineStr">
        <is>
          <t>DUM80371</t>
        </is>
      </c>
      <c r="L22" t="n">
        <v>60153.15</v>
      </c>
      <c r="M22" t="n">
        <v>2680</v>
      </c>
      <c r="N22">
        <f>L22*M22</f>
        <v/>
      </c>
      <c r="O22" t="n">
        <v>56508.76</v>
      </c>
      <c r="P22" t="n">
        <v>2059</v>
      </c>
      <c r="Q22">
        <f>O22*P22</f>
        <v/>
      </c>
      <c r="R22" t="n">
        <v>62206.8</v>
      </c>
      <c r="S22" t="n">
        <v>2663</v>
      </c>
      <c r="T22">
        <f>R22*S22</f>
        <v/>
      </c>
      <c r="U22" t="n">
        <v>65758.42</v>
      </c>
      <c r="V22" t="n">
        <v>2380</v>
      </c>
      <c r="W22">
        <f>U22*V22</f>
        <v/>
      </c>
      <c r="X22" t="n">
        <v>58813.41</v>
      </c>
      <c r="Y22" t="n">
        <v>2507</v>
      </c>
      <c r="Z22">
        <f>X22*Y22</f>
        <v/>
      </c>
      <c r="AA22" t="n">
        <v>55512.12</v>
      </c>
      <c r="AB22" t="n">
        <v>2442</v>
      </c>
      <c r="AC22">
        <f>AA22*AB22</f>
        <v/>
      </c>
      <c r="AD22" t="n">
        <v>59646.19</v>
      </c>
      <c r="AE22" t="n">
        <v>2153</v>
      </c>
      <c r="AF22">
        <f>AD22*AE22</f>
        <v/>
      </c>
      <c r="AG22" t="n">
        <v>62241.53</v>
      </c>
      <c r="AH22" t="n">
        <v>3163</v>
      </c>
      <c r="AI22">
        <f>AG22*AH22</f>
        <v/>
      </c>
      <c r="AJ22" t="n">
        <v>65190.17</v>
      </c>
      <c r="AK22" t="n">
        <v>2825</v>
      </c>
      <c r="AL22">
        <f>AJ22*AK22</f>
        <v/>
      </c>
      <c r="AM22" t="n">
        <v>62223.74</v>
      </c>
      <c r="AN22" t="n">
        <v>2380</v>
      </c>
      <c r="AO22">
        <f>AM22*AN22</f>
        <v/>
      </c>
      <c r="AP22" t="n">
        <v>57008.02</v>
      </c>
      <c r="AQ22" t="n">
        <v>2064</v>
      </c>
      <c r="AR22">
        <f>AP22*AQ22</f>
        <v/>
      </c>
      <c r="AS22" t="n">
        <v>58628.94</v>
      </c>
      <c r="AT22" t="n">
        <v>2103</v>
      </c>
      <c r="AU22">
        <f>AS22*AT22</f>
        <v/>
      </c>
      <c r="AV22" t="n">
        <v>58811.29</v>
      </c>
      <c r="AW22" t="n">
        <v>2835</v>
      </c>
      <c r="AX22">
        <f>AV22*AW22</f>
        <v/>
      </c>
      <c r="AY22">
        <f>IFERROR(BA22/AZ22,0)</f>
        <v/>
      </c>
      <c r="AZ22">
        <f>SUM(P22,S22,V22,Y22,AB22,AE22,AH22,AK22,AN22,AQ22,AT22,AW22)</f>
        <v/>
      </c>
      <c r="BA22">
        <f>SUM(Q22,T22,W22,Z22,AC22,AF22,AI22,AL22,AO22,AR22,AU22,AX22)</f>
        <v/>
      </c>
      <c r="BB22">
        <f>AY22-L22</f>
        <v/>
      </c>
      <c r="BC22">
        <f>IFERROR(BB22/L22,0)</f>
        <v/>
      </c>
      <c r="BF22">
        <f>VLOOKUP("차량OE"&amp;J22,인자!A:D,4,0)</f>
        <v/>
      </c>
    </row>
    <row r="23">
      <c r="A23" t="inlineStr">
        <is>
          <t>차량 영업부문</t>
        </is>
      </c>
      <c r="B23" t="inlineStr">
        <is>
          <t>차량 OE</t>
        </is>
      </c>
      <c r="C23">
        <f>D23&amp;J23</f>
        <v/>
      </c>
      <c r="D23" t="n">
        <v>9081290</v>
      </c>
      <c r="E23" t="inlineStr">
        <is>
          <t>대한상용G</t>
        </is>
      </c>
      <c r="F23" t="n">
        <v>9081290</v>
      </c>
      <c r="G23" t="inlineStr">
        <is>
          <t>대한상용G</t>
        </is>
      </c>
      <c r="H23" t="inlineStr">
        <is>
          <t>조유나</t>
        </is>
      </c>
      <c r="I23" t="inlineStr">
        <is>
          <t>광주</t>
        </is>
      </c>
      <c r="J23" t="inlineStr">
        <is>
          <t>이륜용 상품</t>
        </is>
      </c>
      <c r="K23" t="inlineStr">
        <is>
          <t>DUM93296</t>
        </is>
      </c>
      <c r="L23" t="n">
        <v>163526.88</v>
      </c>
      <c r="M23" t="n">
        <v>1429</v>
      </c>
      <c r="N23">
        <f>L23*M23</f>
        <v/>
      </c>
      <c r="O23" t="n">
        <v>165322.82</v>
      </c>
      <c r="P23" t="n">
        <v>1420</v>
      </c>
      <c r="Q23">
        <f>O23*P23</f>
        <v/>
      </c>
      <c r="R23" t="n">
        <v>151762.64</v>
      </c>
      <c r="S23" t="n">
        <v>1270</v>
      </c>
      <c r="T23">
        <f>R23*S23</f>
        <v/>
      </c>
      <c r="U23" t="n">
        <v>161924.35</v>
      </c>
      <c r="V23" t="n">
        <v>1046</v>
      </c>
      <c r="W23">
        <f>U23*V23</f>
        <v/>
      </c>
      <c r="X23" t="n">
        <v>158916.7</v>
      </c>
      <c r="Y23" t="n">
        <v>1009</v>
      </c>
      <c r="Z23">
        <f>X23*Y23</f>
        <v/>
      </c>
      <c r="AA23" t="n">
        <v>151639.61</v>
      </c>
      <c r="AB23" t="n">
        <v>1699</v>
      </c>
      <c r="AC23">
        <f>AA23*AB23</f>
        <v/>
      </c>
      <c r="AD23" t="n">
        <v>178696.58</v>
      </c>
      <c r="AE23" t="n">
        <v>1434</v>
      </c>
      <c r="AF23">
        <f>AD23*AE23</f>
        <v/>
      </c>
      <c r="AG23" t="n">
        <v>163362.37</v>
      </c>
      <c r="AH23" t="n">
        <v>1587</v>
      </c>
      <c r="AI23">
        <f>AG23*AH23</f>
        <v/>
      </c>
      <c r="AJ23" t="n">
        <v>160767.54</v>
      </c>
      <c r="AK23" t="n">
        <v>1720</v>
      </c>
      <c r="AL23">
        <f>AJ23*AK23</f>
        <v/>
      </c>
      <c r="AM23" t="n">
        <v>163157.29</v>
      </c>
      <c r="AN23" t="n">
        <v>1071</v>
      </c>
      <c r="AO23">
        <f>AM23*AN23</f>
        <v/>
      </c>
      <c r="AP23" t="n">
        <v>148183.5</v>
      </c>
      <c r="AQ23" t="n">
        <v>1653</v>
      </c>
      <c r="AR23">
        <f>AP23*AQ23</f>
        <v/>
      </c>
      <c r="AS23" t="n">
        <v>156727.1</v>
      </c>
      <c r="AT23" t="n">
        <v>1236</v>
      </c>
      <c r="AU23">
        <f>AS23*AT23</f>
        <v/>
      </c>
      <c r="AV23" t="n">
        <v>164756.88</v>
      </c>
      <c r="AW23" t="n">
        <v>1145</v>
      </c>
      <c r="AX23">
        <f>AV23*AW23</f>
        <v/>
      </c>
      <c r="AY23">
        <f>IFERROR(BA23/AZ23,0)</f>
        <v/>
      </c>
      <c r="AZ23">
        <f>SUM(P23,S23,V23,Y23,AB23,AE23,AH23,AK23,AN23,AQ23,AT23,AW23)</f>
        <v/>
      </c>
      <c r="BA23">
        <f>SUM(Q23,T23,W23,Z23,AC23,AF23,AI23,AL23,AO23,AR23,AU23,AX23)</f>
        <v/>
      </c>
      <c r="BB23">
        <f>AY23-L23</f>
        <v/>
      </c>
      <c r="BC23">
        <f>IFERROR(BB23/L23,0)</f>
        <v/>
      </c>
      <c r="BF23">
        <f>VLOOKUP("차량OE"&amp;J23,인자!A:D,4,0)</f>
        <v/>
      </c>
    </row>
    <row r="24">
      <c r="A24" t="inlineStr">
        <is>
          <t>차량 영업부문</t>
        </is>
      </c>
      <c r="B24" t="inlineStr">
        <is>
          <t>차량 OE</t>
        </is>
      </c>
      <c r="C24">
        <f>D24&amp;J24</f>
        <v/>
      </c>
      <c r="D24" t="n">
        <v>9043194</v>
      </c>
      <c r="E24" t="inlineStr">
        <is>
          <t>미래모터스H</t>
        </is>
      </c>
      <c r="F24" t="n">
        <v>9043194</v>
      </c>
      <c r="G24" t="inlineStr">
        <is>
          <t>미래모터스H</t>
        </is>
      </c>
      <c r="H24" t="inlineStr">
        <is>
          <t>임도현</t>
        </is>
      </c>
      <c r="I24" t="inlineStr">
        <is>
          <t>창원</t>
        </is>
      </c>
      <c r="J24" t="inlineStr">
        <is>
          <t>PT(CA) 중형</t>
        </is>
      </c>
      <c r="K24" t="inlineStr">
        <is>
          <t>DUM76952</t>
        </is>
      </c>
      <c r="L24" t="n">
        <v>38397.24</v>
      </c>
      <c r="M24" t="n">
        <v>945</v>
      </c>
      <c r="N24">
        <f>L24*M24</f>
        <v/>
      </c>
      <c r="O24" t="n">
        <v>36614.75</v>
      </c>
      <c r="P24" t="n">
        <v>969</v>
      </c>
      <c r="Q24">
        <f>O24*P24</f>
        <v/>
      </c>
      <c r="R24" t="n">
        <v>42167.03</v>
      </c>
      <c r="S24" t="n">
        <v>969</v>
      </c>
      <c r="T24">
        <f>R24*S24</f>
        <v/>
      </c>
      <c r="U24" t="n">
        <v>40369.22</v>
      </c>
      <c r="V24" t="n">
        <v>1092</v>
      </c>
      <c r="W24">
        <f>U24*V24</f>
        <v/>
      </c>
      <c r="X24" t="n">
        <v>37946.97</v>
      </c>
      <c r="Y24" t="n">
        <v>785</v>
      </c>
      <c r="Z24">
        <f>X24*Y24</f>
        <v/>
      </c>
      <c r="AA24" t="n">
        <v>37822.47</v>
      </c>
      <c r="AB24" t="n">
        <v>1079</v>
      </c>
      <c r="AC24">
        <f>AA24*AB24</f>
        <v/>
      </c>
      <c r="AD24" t="n">
        <v>39577.35</v>
      </c>
      <c r="AE24" t="n">
        <v>802</v>
      </c>
      <c r="AF24">
        <f>AD24*AE24</f>
        <v/>
      </c>
      <c r="AG24" t="n">
        <v>41275.57</v>
      </c>
      <c r="AH24" t="n">
        <v>680</v>
      </c>
      <c r="AI24">
        <f>AG24*AH24</f>
        <v/>
      </c>
      <c r="AJ24" t="n">
        <v>36575.79</v>
      </c>
      <c r="AK24" t="n">
        <v>1150</v>
      </c>
      <c r="AL24">
        <f>AJ24*AK24</f>
        <v/>
      </c>
      <c r="AM24" t="n">
        <v>35225.5</v>
      </c>
      <c r="AN24" t="n">
        <v>1152</v>
      </c>
      <c r="AO24">
        <f>AM24*AN24</f>
        <v/>
      </c>
      <c r="AP24" t="n">
        <v>35458.98</v>
      </c>
      <c r="AQ24" t="n">
        <v>1122</v>
      </c>
      <c r="AR24">
        <f>AP24*AQ24</f>
        <v/>
      </c>
      <c r="AS24" t="n">
        <v>36169.26</v>
      </c>
      <c r="AT24" t="n">
        <v>1080</v>
      </c>
      <c r="AU24">
        <f>AS24*AT24</f>
        <v/>
      </c>
      <c r="AV24" t="n">
        <v>39849.68</v>
      </c>
      <c r="AW24" t="n">
        <v>1150</v>
      </c>
      <c r="AX24">
        <f>AV24*AW24</f>
        <v/>
      </c>
      <c r="AY24">
        <f>IFERROR(BA24/AZ24,0)</f>
        <v/>
      </c>
      <c r="AZ24">
        <f>SUM(P24,S24,V24,Y24,AB24,AE24,AH24,AK24,AN24,AQ24,AT24,AW24)</f>
        <v/>
      </c>
      <c r="BA24">
        <f>SUM(Q24,T24,W24,Z24,AC24,AF24,AI24,AL24,AO24,AR24,AU24,AX24)</f>
        <v/>
      </c>
      <c r="BB24">
        <f>AY24-L24</f>
        <v/>
      </c>
      <c r="BC24">
        <f>IFERROR(BB24/L24,0)</f>
        <v/>
      </c>
      <c r="BF24">
        <f>VLOOKUP("차량OE"&amp;J24,인자!A:D,4,0)</f>
        <v/>
      </c>
    </row>
    <row r="25">
      <c r="A25" t="inlineStr">
        <is>
          <t>차량 영업부문</t>
        </is>
      </c>
      <c r="B25" t="inlineStr">
        <is>
          <t>차량 OE</t>
        </is>
      </c>
      <c r="C25">
        <f>D25&amp;J25</f>
        <v/>
      </c>
      <c r="D25" t="n">
        <v>9081290</v>
      </c>
      <c r="E25" t="inlineStr">
        <is>
          <t>대한상용G</t>
        </is>
      </c>
      <c r="F25" t="n">
        <v>9081290</v>
      </c>
      <c r="G25" t="inlineStr">
        <is>
          <t>대한상용G</t>
        </is>
      </c>
      <c r="H25" t="inlineStr">
        <is>
          <t>박도윤</t>
        </is>
      </c>
      <c r="I25" t="inlineStr">
        <is>
          <t>광주</t>
        </is>
      </c>
      <c r="J25" t="inlineStr">
        <is>
          <t>차량용 대형 PH</t>
        </is>
      </c>
      <c r="K25" t="inlineStr">
        <is>
          <t>DUM37082</t>
        </is>
      </c>
      <c r="L25" t="n">
        <v>244991.31</v>
      </c>
      <c r="M25" t="n">
        <v>496</v>
      </c>
      <c r="N25">
        <f>L25*M25</f>
        <v/>
      </c>
      <c r="O25" t="n">
        <v>248424.83</v>
      </c>
      <c r="P25" t="n">
        <v>506</v>
      </c>
      <c r="Q25">
        <f>O25*P25</f>
        <v/>
      </c>
      <c r="R25" t="n">
        <v>249737.17</v>
      </c>
      <c r="S25" t="n">
        <v>397</v>
      </c>
      <c r="T25">
        <f>R25*S25</f>
        <v/>
      </c>
      <c r="U25" t="n">
        <v>268461.49</v>
      </c>
      <c r="V25" t="n">
        <v>434</v>
      </c>
      <c r="W25">
        <f>U25*V25</f>
        <v/>
      </c>
      <c r="X25" t="n">
        <v>248555.23</v>
      </c>
      <c r="Y25" t="n">
        <v>631</v>
      </c>
      <c r="Z25">
        <f>X25*Y25</f>
        <v/>
      </c>
      <c r="AA25" t="n">
        <v>245697.62</v>
      </c>
      <c r="AB25" t="n">
        <v>615</v>
      </c>
      <c r="AC25">
        <f>AA25*AB25</f>
        <v/>
      </c>
      <c r="AD25" t="n">
        <v>260434.63</v>
      </c>
      <c r="AE25" t="n">
        <v>388</v>
      </c>
      <c r="AF25">
        <f>AD25*AE25</f>
        <v/>
      </c>
      <c r="AG25" t="n">
        <v>257245.49</v>
      </c>
      <c r="AH25" t="n">
        <v>470</v>
      </c>
      <c r="AI25">
        <f>AG25*AH25</f>
        <v/>
      </c>
      <c r="AJ25" t="n">
        <v>223397.08</v>
      </c>
      <c r="AK25" t="n">
        <v>430</v>
      </c>
      <c r="AL25">
        <f>AJ25*AK25</f>
        <v/>
      </c>
      <c r="AM25" t="n">
        <v>252629.96</v>
      </c>
      <c r="AN25" t="n">
        <v>556</v>
      </c>
      <c r="AO25">
        <f>AM25*AN25</f>
        <v/>
      </c>
      <c r="AP25" t="n">
        <v>226993.8</v>
      </c>
      <c r="AQ25" t="n">
        <v>391</v>
      </c>
      <c r="AR25">
        <f>AP25*AQ25</f>
        <v/>
      </c>
      <c r="AS25" t="n">
        <v>236274.36</v>
      </c>
      <c r="AT25" t="n">
        <v>421</v>
      </c>
      <c r="AU25">
        <f>AS25*AT25</f>
        <v/>
      </c>
      <c r="AV25" t="n">
        <v>261824.94</v>
      </c>
      <c r="AW25" t="n">
        <v>464</v>
      </c>
      <c r="AX25">
        <f>AV25*AW25</f>
        <v/>
      </c>
      <c r="AY25">
        <f>IFERROR(BA25/AZ25,0)</f>
        <v/>
      </c>
      <c r="AZ25">
        <f>SUM(P25,S25,V25,Y25,AB25,AE25,AH25,AK25,AN25,AQ25,AT25,AW25)</f>
        <v/>
      </c>
      <c r="BA25">
        <f>SUM(Q25,T25,W25,Z25,AC25,AF25,AI25,AL25,AO25,AR25,AU25,AX25)</f>
        <v/>
      </c>
      <c r="BB25">
        <f>AY25-L25</f>
        <v/>
      </c>
      <c r="BC25">
        <f>IFERROR(BB25/L25,0)</f>
        <v/>
      </c>
      <c r="BF25">
        <f>VLOOKUP("차량OE"&amp;J25,인자!A:D,4,0)</f>
        <v/>
      </c>
    </row>
    <row r="26">
      <c r="A26" t="inlineStr">
        <is>
          <t>차량 영업부문</t>
        </is>
      </c>
      <c r="B26" t="inlineStr">
        <is>
          <t>차량 OE</t>
        </is>
      </c>
      <c r="C26">
        <f>D26&amp;J26</f>
        <v/>
      </c>
      <c r="D26" t="n">
        <v>9025631</v>
      </c>
      <c r="E26" t="inlineStr">
        <is>
          <t>동해파워C</t>
        </is>
      </c>
      <c r="F26" t="n">
        <v>9025631</v>
      </c>
      <c r="G26" t="inlineStr">
        <is>
          <t>동해파워C</t>
        </is>
      </c>
      <c r="H26" t="inlineStr">
        <is>
          <t>임도현</t>
        </is>
      </c>
      <c r="I26" t="inlineStr">
        <is>
          <t>창원</t>
        </is>
      </c>
      <c r="J26" t="inlineStr">
        <is>
          <t>MF 소형 EXP</t>
        </is>
      </c>
      <c r="K26" t="inlineStr">
        <is>
          <t>DUM64293</t>
        </is>
      </c>
      <c r="L26" t="n">
        <v>115675.84</v>
      </c>
      <c r="M26" t="n">
        <v>628</v>
      </c>
      <c r="N26">
        <f>L26*M26</f>
        <v/>
      </c>
      <c r="O26" t="n">
        <v>118767.34</v>
      </c>
      <c r="P26" t="n">
        <v>771</v>
      </c>
      <c r="Q26">
        <f>O26*P26</f>
        <v/>
      </c>
      <c r="R26" t="n">
        <v>106262.02</v>
      </c>
      <c r="S26" t="n">
        <v>634</v>
      </c>
      <c r="T26">
        <f>R26*S26</f>
        <v/>
      </c>
      <c r="U26" t="n">
        <v>110545.05</v>
      </c>
      <c r="V26" t="n">
        <v>792</v>
      </c>
      <c r="W26">
        <f>U26*V26</f>
        <v/>
      </c>
      <c r="X26" t="n">
        <v>112646.78</v>
      </c>
      <c r="Y26" t="n">
        <v>798</v>
      </c>
      <c r="Z26">
        <f>X26*Y26</f>
        <v/>
      </c>
      <c r="AA26" t="n">
        <v>111680.15</v>
      </c>
      <c r="AB26" t="n">
        <v>441</v>
      </c>
      <c r="AC26">
        <f>AA26*AB26</f>
        <v/>
      </c>
      <c r="AD26" t="n">
        <v>122018.01</v>
      </c>
      <c r="AE26" t="n">
        <v>716</v>
      </c>
      <c r="AF26">
        <f>AD26*AE26</f>
        <v/>
      </c>
      <c r="AG26" t="n">
        <v>121018.49</v>
      </c>
      <c r="AH26" t="n">
        <v>612</v>
      </c>
      <c r="AI26">
        <f>AG26*AH26</f>
        <v/>
      </c>
      <c r="AJ26" t="n">
        <v>119473.33</v>
      </c>
      <c r="AK26" t="n">
        <v>575</v>
      </c>
      <c r="AL26">
        <f>AJ26*AK26</f>
        <v/>
      </c>
      <c r="AM26" t="n">
        <v>105573.42</v>
      </c>
      <c r="AN26" t="n">
        <v>641</v>
      </c>
      <c r="AO26">
        <f>AM26*AN26</f>
        <v/>
      </c>
      <c r="AP26" t="n">
        <v>109147.79</v>
      </c>
      <c r="AQ26" t="n">
        <v>601</v>
      </c>
      <c r="AR26">
        <f>AP26*AQ26</f>
        <v/>
      </c>
      <c r="AS26" t="n">
        <v>109009.48</v>
      </c>
      <c r="AT26" t="n">
        <v>541</v>
      </c>
      <c r="AU26">
        <f>AS26*AT26</f>
        <v/>
      </c>
      <c r="AV26" t="n">
        <v>123272.12</v>
      </c>
      <c r="AW26" t="n">
        <v>567</v>
      </c>
      <c r="AX26">
        <f>AV26*AW26</f>
        <v/>
      </c>
      <c r="AY26">
        <f>IFERROR(BA26/AZ26,0)</f>
        <v/>
      </c>
      <c r="AZ26">
        <f>SUM(P26,S26,V26,Y26,AB26,AE26,AH26,AK26,AN26,AQ26,AT26,AW26)</f>
        <v/>
      </c>
      <c r="BA26">
        <f>SUM(Q26,T26,W26,Z26,AC26,AF26,AI26,AL26,AO26,AR26,AU26,AX26)</f>
        <v/>
      </c>
      <c r="BB26">
        <f>AY26-L26</f>
        <v/>
      </c>
      <c r="BC26">
        <f>IFERROR(BB26/L26,0)</f>
        <v/>
      </c>
      <c r="BF26">
        <f>VLOOKUP("차량OE"&amp;J26,인자!A:D,4,0)</f>
        <v/>
      </c>
    </row>
    <row r="27">
      <c r="A27" t="inlineStr">
        <is>
          <t>차량 영업부문</t>
        </is>
      </c>
      <c r="B27" t="inlineStr">
        <is>
          <t>차량 OE</t>
        </is>
      </c>
      <c r="C27">
        <f>D27&amp;J27</f>
        <v/>
      </c>
      <c r="D27" t="n">
        <v>9025631</v>
      </c>
      <c r="E27" t="inlineStr">
        <is>
          <t>동해파워C</t>
        </is>
      </c>
      <c r="F27" t="n">
        <v>9025631</v>
      </c>
      <c r="G27" t="inlineStr">
        <is>
          <t>동해파워C</t>
        </is>
      </c>
      <c r="H27" t="inlineStr">
        <is>
          <t>임도현</t>
        </is>
      </c>
      <c r="I27" t="inlineStr">
        <is>
          <t>창원</t>
        </is>
      </c>
      <c r="J27" t="inlineStr">
        <is>
          <t>차량용 대형 PH</t>
        </is>
      </c>
      <c r="K27" t="inlineStr">
        <is>
          <t>DUM55054</t>
        </is>
      </c>
      <c r="L27" t="n">
        <v>268775.62</v>
      </c>
      <c r="M27" t="n">
        <v>406</v>
      </c>
      <c r="N27">
        <f>L27*M27</f>
        <v/>
      </c>
      <c r="O27" t="n">
        <v>244367.73</v>
      </c>
      <c r="P27" t="n">
        <v>437</v>
      </c>
      <c r="Q27">
        <f>O27*P27</f>
        <v/>
      </c>
      <c r="R27" t="n">
        <v>286875.09</v>
      </c>
      <c r="S27" t="n">
        <v>288</v>
      </c>
      <c r="T27">
        <f>R27*S27</f>
        <v/>
      </c>
      <c r="U27" t="n">
        <v>291859.84</v>
      </c>
      <c r="V27" t="n">
        <v>323</v>
      </c>
      <c r="W27">
        <f>U27*V27</f>
        <v/>
      </c>
      <c r="X27" t="n">
        <v>266438.25</v>
      </c>
      <c r="Y27" t="n">
        <v>526</v>
      </c>
      <c r="Z27">
        <f>X27*Y27</f>
        <v/>
      </c>
      <c r="AA27" t="n">
        <v>264894.46</v>
      </c>
      <c r="AB27" t="n">
        <v>527</v>
      </c>
      <c r="AC27">
        <f>AA27*AB27</f>
        <v/>
      </c>
      <c r="AD27" t="n">
        <v>290783.36</v>
      </c>
      <c r="AE27" t="n">
        <v>499</v>
      </c>
      <c r="AF27">
        <f>AD27*AE27</f>
        <v/>
      </c>
      <c r="AG27" t="n">
        <v>258124.88</v>
      </c>
      <c r="AH27" t="n">
        <v>497</v>
      </c>
      <c r="AI27">
        <f>AG27*AH27</f>
        <v/>
      </c>
      <c r="AJ27" t="n">
        <v>289019.53</v>
      </c>
      <c r="AK27" t="n">
        <v>307</v>
      </c>
      <c r="AL27">
        <f>AJ27*AK27</f>
        <v/>
      </c>
      <c r="AM27" t="n">
        <v>261273.31</v>
      </c>
      <c r="AN27" t="n">
        <v>304</v>
      </c>
      <c r="AO27">
        <f>AM27*AN27</f>
        <v/>
      </c>
      <c r="AP27" t="n">
        <v>277618.81</v>
      </c>
      <c r="AQ27" t="n">
        <v>442</v>
      </c>
      <c r="AR27">
        <f>AP27*AQ27</f>
        <v/>
      </c>
      <c r="AS27" t="n">
        <v>244681.89</v>
      </c>
      <c r="AT27" t="n">
        <v>437</v>
      </c>
      <c r="AU27">
        <f>AS27*AT27</f>
        <v/>
      </c>
      <c r="AV27" t="n">
        <v>280923.65</v>
      </c>
      <c r="AW27" t="n">
        <v>468</v>
      </c>
      <c r="AX27">
        <f>AV27*AW27</f>
        <v/>
      </c>
      <c r="AY27">
        <f>IFERROR(BA27/AZ27,0)</f>
        <v/>
      </c>
      <c r="AZ27">
        <f>SUM(P27,S27,V27,Y27,AB27,AE27,AH27,AK27,AN27,AQ27,AT27,AW27)</f>
        <v/>
      </c>
      <c r="BA27">
        <f>SUM(Q27,T27,W27,Z27,AC27,AF27,AI27,AL27,AO27,AR27,AU27,AX27)</f>
        <v/>
      </c>
      <c r="BB27">
        <f>AY27-L27</f>
        <v/>
      </c>
      <c r="BC27">
        <f>IFERROR(BB27/L27,0)</f>
        <v/>
      </c>
      <c r="BF27">
        <f>VLOOKUP("차량OE"&amp;J27,인자!A:D,4,0)</f>
        <v/>
      </c>
    </row>
    <row r="28">
      <c r="A28" t="inlineStr">
        <is>
          <t>차량 영업부문</t>
        </is>
      </c>
      <c r="B28" t="inlineStr">
        <is>
          <t>차량 OE</t>
        </is>
      </c>
      <c r="C28">
        <f>D28&amp;J28</f>
        <v/>
      </c>
      <c r="D28" t="n">
        <v>9081290</v>
      </c>
      <c r="E28" t="inlineStr">
        <is>
          <t>대한상용G</t>
        </is>
      </c>
      <c r="F28" t="n">
        <v>9081290</v>
      </c>
      <c r="G28" t="inlineStr">
        <is>
          <t>대한상용G</t>
        </is>
      </c>
      <c r="H28" t="inlineStr">
        <is>
          <t>한지호</t>
        </is>
      </c>
      <c r="I28" t="inlineStr">
        <is>
          <t>광주</t>
        </is>
      </c>
      <c r="J28" t="inlineStr">
        <is>
          <t>MF 대형 EXP</t>
        </is>
      </c>
      <c r="K28" t="inlineStr">
        <is>
          <t>DUM22475</t>
        </is>
      </c>
      <c r="L28" t="n">
        <v>5320.46</v>
      </c>
      <c r="M28" t="n">
        <v>3916</v>
      </c>
      <c r="N28">
        <f>L28*M28</f>
        <v/>
      </c>
      <c r="O28" t="n">
        <v>4871.35</v>
      </c>
      <c r="P28" t="n">
        <v>4136</v>
      </c>
      <c r="Q28">
        <f>O28*P28</f>
        <v/>
      </c>
      <c r="R28" t="n">
        <v>5341.15</v>
      </c>
      <c r="S28" t="n">
        <v>3787</v>
      </c>
      <c r="T28">
        <f>R28*S28</f>
        <v/>
      </c>
      <c r="U28" t="n">
        <v>4796.99</v>
      </c>
      <c r="V28" t="n">
        <v>3548</v>
      </c>
      <c r="W28">
        <f>U28*V28</f>
        <v/>
      </c>
      <c r="X28" t="n">
        <v>4916.74</v>
      </c>
      <c r="Y28" t="n">
        <v>4763</v>
      </c>
      <c r="Z28">
        <f>X28*Y28</f>
        <v/>
      </c>
      <c r="AA28" t="n">
        <v>5526.93</v>
      </c>
      <c r="AB28" t="n">
        <v>3864</v>
      </c>
      <c r="AC28">
        <f>AA28*AB28</f>
        <v/>
      </c>
      <c r="AD28" t="n">
        <v>5032.03</v>
      </c>
      <c r="AE28" t="n">
        <v>2951</v>
      </c>
      <c r="AF28">
        <f>AD28*AE28</f>
        <v/>
      </c>
      <c r="AG28" t="n">
        <v>5646.03</v>
      </c>
      <c r="AH28" t="n">
        <v>2984</v>
      </c>
      <c r="AI28">
        <f>AG28*AH28</f>
        <v/>
      </c>
      <c r="AJ28" t="n">
        <v>5179.53</v>
      </c>
      <c r="AK28" t="n">
        <v>3444</v>
      </c>
      <c r="AL28">
        <f>AJ28*AK28</f>
        <v/>
      </c>
      <c r="AM28" t="n">
        <v>5195.66</v>
      </c>
      <c r="AN28" t="n">
        <v>4652</v>
      </c>
      <c r="AO28">
        <f>AM28*AN28</f>
        <v/>
      </c>
      <c r="AP28" t="n">
        <v>5718.96</v>
      </c>
      <c r="AQ28" t="n">
        <v>4249</v>
      </c>
      <c r="AR28">
        <f>AP28*AQ28</f>
        <v/>
      </c>
      <c r="AS28" t="n">
        <v>5508.95</v>
      </c>
      <c r="AT28" t="n">
        <v>2902</v>
      </c>
      <c r="AU28">
        <f>AS28*AT28</f>
        <v/>
      </c>
      <c r="AV28" t="n">
        <v>5387.81</v>
      </c>
      <c r="AW28" t="n">
        <v>4175</v>
      </c>
      <c r="AX28">
        <f>AV28*AW28</f>
        <v/>
      </c>
      <c r="AY28">
        <f>IFERROR(BA28/AZ28,0)</f>
        <v/>
      </c>
      <c r="AZ28">
        <f>SUM(P28,S28,V28,Y28,AB28,AE28,AH28,AK28,AN28,AQ28,AT28,AW28)</f>
        <v/>
      </c>
      <c r="BA28">
        <f>SUM(Q28,T28,W28,Z28,AC28,AF28,AI28,AL28,AO28,AR28,AU28,AX28)</f>
        <v/>
      </c>
      <c r="BB28">
        <f>AY28-L28</f>
        <v/>
      </c>
      <c r="BC28">
        <f>IFERROR(BB28/L28,0)</f>
        <v/>
      </c>
      <c r="BF28">
        <f>VLOOKUP("차량OE"&amp;J28,인자!A:D,4,0)</f>
        <v/>
      </c>
    </row>
    <row r="29">
      <c r="A29" t="inlineStr">
        <is>
          <t>차량 영업부문</t>
        </is>
      </c>
      <c r="B29" t="inlineStr">
        <is>
          <t>차량 OE</t>
        </is>
      </c>
      <c r="C29">
        <f>D29&amp;J29</f>
        <v/>
      </c>
      <c r="D29" t="n">
        <v>9025631</v>
      </c>
      <c r="E29" t="inlineStr">
        <is>
          <t>동해파워C</t>
        </is>
      </c>
      <c r="F29" t="n">
        <v>9025631</v>
      </c>
      <c r="G29" t="inlineStr">
        <is>
          <t>동해파워C</t>
        </is>
      </c>
      <c r="H29" t="inlineStr">
        <is>
          <t>윤재원</t>
        </is>
      </c>
      <c r="I29" t="inlineStr">
        <is>
          <t>창원</t>
        </is>
      </c>
      <c r="J29" t="inlineStr">
        <is>
          <t>MF 대형 EXP</t>
        </is>
      </c>
      <c r="K29" t="inlineStr">
        <is>
          <t>DUM37925</t>
        </is>
      </c>
      <c r="L29" t="n">
        <v>190283.61</v>
      </c>
      <c r="M29" t="n">
        <v>1250</v>
      </c>
      <c r="N29">
        <f>L29*M29</f>
        <v/>
      </c>
      <c r="O29" t="n">
        <v>206263.4</v>
      </c>
      <c r="P29" t="n">
        <v>1337</v>
      </c>
      <c r="Q29">
        <f>O29*P29</f>
        <v/>
      </c>
      <c r="R29" t="n">
        <v>188090.93</v>
      </c>
      <c r="S29" t="n">
        <v>1038</v>
      </c>
      <c r="T29">
        <f>R29*S29</f>
        <v/>
      </c>
      <c r="U29" t="n">
        <v>205376.64</v>
      </c>
      <c r="V29" t="n">
        <v>980</v>
      </c>
      <c r="W29">
        <f>U29*V29</f>
        <v/>
      </c>
      <c r="X29" t="n">
        <v>175942.21</v>
      </c>
      <c r="Y29" t="n">
        <v>1423</v>
      </c>
      <c r="Z29">
        <f>X29*Y29</f>
        <v/>
      </c>
      <c r="AA29" t="n">
        <v>184633.54</v>
      </c>
      <c r="AB29" t="n">
        <v>1197</v>
      </c>
      <c r="AC29">
        <f>AA29*AB29</f>
        <v/>
      </c>
      <c r="AD29" t="n">
        <v>201361.03</v>
      </c>
      <c r="AE29" t="n">
        <v>1061</v>
      </c>
      <c r="AF29">
        <f>AD29*AE29</f>
        <v/>
      </c>
      <c r="AG29" t="n">
        <v>195787.39</v>
      </c>
      <c r="AH29" t="n">
        <v>1061</v>
      </c>
      <c r="AI29">
        <f>AG29*AH29</f>
        <v/>
      </c>
      <c r="AJ29" t="n">
        <v>194127.3</v>
      </c>
      <c r="AK29" t="n">
        <v>1416</v>
      </c>
      <c r="AL29">
        <f>AJ29*AK29</f>
        <v/>
      </c>
      <c r="AM29" t="n">
        <v>182098.4</v>
      </c>
      <c r="AN29" t="n">
        <v>1581</v>
      </c>
      <c r="AO29">
        <f>AM29*AN29</f>
        <v/>
      </c>
      <c r="AP29" t="n">
        <v>172276.1</v>
      </c>
      <c r="AQ29" t="n">
        <v>1510</v>
      </c>
      <c r="AR29">
        <f>AP29*AQ29</f>
        <v/>
      </c>
      <c r="AS29" t="n">
        <v>204586.36</v>
      </c>
      <c r="AT29" t="n">
        <v>1029</v>
      </c>
      <c r="AU29">
        <f>AS29*AT29</f>
        <v/>
      </c>
      <c r="AV29" t="n">
        <v>194352.9</v>
      </c>
      <c r="AW29" t="n">
        <v>1016</v>
      </c>
      <c r="AX29">
        <f>AV29*AW29</f>
        <v/>
      </c>
      <c r="AY29">
        <f>IFERROR(BA29/AZ29,0)</f>
        <v/>
      </c>
      <c r="AZ29">
        <f>SUM(P29,S29,V29,Y29,AB29,AE29,AH29,AK29,AN29,AQ29,AT29,AW29)</f>
        <v/>
      </c>
      <c r="BA29">
        <f>SUM(Q29,T29,W29,Z29,AC29,AF29,AI29,AL29,AO29,AR29,AU29,AX29)</f>
        <v/>
      </c>
      <c r="BB29">
        <f>AY29-L29</f>
        <v/>
      </c>
      <c r="BC29">
        <f>IFERROR(BB29/L29,0)</f>
        <v/>
      </c>
      <c r="BF29">
        <f>VLOOKUP("차량OE"&amp;J29,인자!A:D,4,0)</f>
        <v/>
      </c>
    </row>
    <row r="30">
      <c r="A30" t="inlineStr">
        <is>
          <t>차량 영업부문</t>
        </is>
      </c>
      <c r="B30" t="inlineStr">
        <is>
          <t>차량 OE</t>
        </is>
      </c>
      <c r="C30">
        <f>D30&amp;J30</f>
        <v/>
      </c>
      <c r="D30" t="n">
        <v>9081290</v>
      </c>
      <c r="E30" t="inlineStr">
        <is>
          <t>대한상용G</t>
        </is>
      </c>
      <c r="F30" t="n">
        <v>9081290</v>
      </c>
      <c r="G30" t="inlineStr">
        <is>
          <t>대한상용G</t>
        </is>
      </c>
      <c r="H30" t="inlineStr">
        <is>
          <t>정하은</t>
        </is>
      </c>
      <c r="I30" t="inlineStr">
        <is>
          <t>광주</t>
        </is>
      </c>
      <c r="J30" t="inlineStr">
        <is>
          <t>차량용 대형 PH</t>
        </is>
      </c>
      <c r="K30" t="inlineStr">
        <is>
          <t>DUM41370</t>
        </is>
      </c>
      <c r="L30" t="n">
        <v>150991.88</v>
      </c>
      <c r="M30" t="n">
        <v>933</v>
      </c>
      <c r="N30">
        <f>L30*M30</f>
        <v/>
      </c>
      <c r="O30" t="n">
        <v>143172.97</v>
      </c>
      <c r="P30" t="n">
        <v>1010</v>
      </c>
      <c r="Q30">
        <f>O30*P30</f>
        <v/>
      </c>
      <c r="R30" t="n">
        <v>138037.14</v>
      </c>
      <c r="S30" t="n">
        <v>1151</v>
      </c>
      <c r="T30">
        <f>R30*S30</f>
        <v/>
      </c>
      <c r="U30" t="n">
        <v>136257.1</v>
      </c>
      <c r="V30" t="n">
        <v>855</v>
      </c>
      <c r="W30">
        <f>U30*V30</f>
        <v/>
      </c>
      <c r="X30" t="n">
        <v>145449.65</v>
      </c>
      <c r="Y30" t="n">
        <v>870</v>
      </c>
      <c r="Z30">
        <f>X30*Y30</f>
        <v/>
      </c>
      <c r="AA30" t="n">
        <v>161228.32</v>
      </c>
      <c r="AB30" t="n">
        <v>889</v>
      </c>
      <c r="AC30">
        <f>AA30*AB30</f>
        <v/>
      </c>
      <c r="AD30" t="n">
        <v>152391.76</v>
      </c>
      <c r="AE30" t="n">
        <v>750</v>
      </c>
      <c r="AF30">
        <f>AD30*AE30</f>
        <v/>
      </c>
      <c r="AG30" t="n">
        <v>150116.57</v>
      </c>
      <c r="AH30" t="n">
        <v>1206</v>
      </c>
      <c r="AI30">
        <f>AG30*AH30</f>
        <v/>
      </c>
      <c r="AJ30" t="n">
        <v>138096.93</v>
      </c>
      <c r="AK30" t="n">
        <v>982</v>
      </c>
      <c r="AL30">
        <f>AJ30*AK30</f>
        <v/>
      </c>
      <c r="AM30" t="n">
        <v>136309.23</v>
      </c>
      <c r="AN30" t="n">
        <v>774</v>
      </c>
      <c r="AO30">
        <f>AM30*AN30</f>
        <v/>
      </c>
      <c r="AP30" t="n">
        <v>163753.09</v>
      </c>
      <c r="AQ30" t="n">
        <v>1184</v>
      </c>
      <c r="AR30">
        <f>AP30*AQ30</f>
        <v/>
      </c>
      <c r="AS30" t="n">
        <v>147910.89</v>
      </c>
      <c r="AT30" t="n">
        <v>813</v>
      </c>
      <c r="AU30">
        <f>AS30*AT30</f>
        <v/>
      </c>
      <c r="AV30" t="n">
        <v>157412.93</v>
      </c>
      <c r="AW30" t="n">
        <v>1083</v>
      </c>
      <c r="AX30">
        <f>AV30*AW30</f>
        <v/>
      </c>
      <c r="AY30">
        <f>IFERROR(BA30/AZ30,0)</f>
        <v/>
      </c>
      <c r="AZ30">
        <f>SUM(P30,S30,V30,Y30,AB30,AE30,AH30,AK30,AN30,AQ30,AT30,AW30)</f>
        <v/>
      </c>
      <c r="BA30">
        <f>SUM(Q30,T30,W30,Z30,AC30,AF30,AI30,AL30,AO30,AR30,AU30,AX30)</f>
        <v/>
      </c>
      <c r="BB30">
        <f>AY30-L30</f>
        <v/>
      </c>
      <c r="BC30">
        <f>IFERROR(BB30/L30,0)</f>
        <v/>
      </c>
      <c r="BF30">
        <f>VLOOKUP("차량OE"&amp;J30,인자!A:D,4,0)</f>
        <v/>
      </c>
    </row>
    <row r="31">
      <c r="A31" t="inlineStr">
        <is>
          <t>차량 영업부문</t>
        </is>
      </c>
      <c r="B31" t="inlineStr">
        <is>
          <t>차량 OE</t>
        </is>
      </c>
      <c r="C31">
        <f>D31&amp;J31</f>
        <v/>
      </c>
      <c r="D31" t="n">
        <v>9081290</v>
      </c>
      <c r="E31" t="inlineStr">
        <is>
          <t>대한상용G</t>
        </is>
      </c>
      <c r="F31" t="n">
        <v>9081290</v>
      </c>
      <c r="G31" t="inlineStr">
        <is>
          <t>대한상용G</t>
        </is>
      </c>
      <c r="H31" t="inlineStr">
        <is>
          <t>오은서</t>
        </is>
      </c>
      <c r="I31" t="inlineStr">
        <is>
          <t>창원</t>
        </is>
      </c>
      <c r="J31" t="inlineStr">
        <is>
          <t>차량용 중형 EXP</t>
        </is>
      </c>
      <c r="K31" t="inlineStr">
        <is>
          <t>DUM93956</t>
        </is>
      </c>
      <c r="L31" t="n">
        <v>163286.62</v>
      </c>
      <c r="M31" t="n">
        <v>1260</v>
      </c>
      <c r="N31">
        <f>L31*M31</f>
        <v/>
      </c>
      <c r="O31" t="n">
        <v>156019.31</v>
      </c>
      <c r="P31" t="n">
        <v>1116</v>
      </c>
      <c r="Q31">
        <f>O31*P31</f>
        <v/>
      </c>
      <c r="R31" t="n">
        <v>163655.8</v>
      </c>
      <c r="S31" t="n">
        <v>1036</v>
      </c>
      <c r="T31">
        <f>R31*S31</f>
        <v/>
      </c>
      <c r="U31" t="n">
        <v>173347.04</v>
      </c>
      <c r="V31" t="n">
        <v>1288</v>
      </c>
      <c r="W31">
        <f>U31*V31</f>
        <v/>
      </c>
      <c r="X31" t="n">
        <v>159718.2</v>
      </c>
      <c r="Y31" t="n">
        <v>1362</v>
      </c>
      <c r="Z31">
        <f>X31*Y31</f>
        <v/>
      </c>
      <c r="AA31" t="n">
        <v>174211.36</v>
      </c>
      <c r="AB31" t="n">
        <v>1397</v>
      </c>
      <c r="AC31">
        <f>AA31*AB31</f>
        <v/>
      </c>
      <c r="AD31" t="n">
        <v>149117.1</v>
      </c>
      <c r="AE31" t="n">
        <v>1410</v>
      </c>
      <c r="AF31">
        <f>AD31*AE31</f>
        <v/>
      </c>
      <c r="AG31" t="n">
        <v>170796.45</v>
      </c>
      <c r="AH31" t="n">
        <v>1522</v>
      </c>
      <c r="AI31">
        <f>AG31*AH31</f>
        <v/>
      </c>
      <c r="AJ31" t="n">
        <v>148849.01</v>
      </c>
      <c r="AK31" t="n">
        <v>947</v>
      </c>
      <c r="AL31">
        <f>AJ31*AK31</f>
        <v/>
      </c>
      <c r="AM31" t="n">
        <v>161147.03</v>
      </c>
      <c r="AN31" t="n">
        <v>1225</v>
      </c>
      <c r="AO31">
        <f>AM31*AN31</f>
        <v/>
      </c>
      <c r="AP31" t="n">
        <v>166840.8</v>
      </c>
      <c r="AQ31" t="n">
        <v>1116</v>
      </c>
      <c r="AR31">
        <f>AP31*AQ31</f>
        <v/>
      </c>
      <c r="AS31" t="n">
        <v>171179.68</v>
      </c>
      <c r="AT31" t="n">
        <v>1442</v>
      </c>
      <c r="AU31">
        <f>AS31*AT31</f>
        <v/>
      </c>
      <c r="AV31" t="n">
        <v>150858.65</v>
      </c>
      <c r="AW31" t="n">
        <v>1417</v>
      </c>
      <c r="AX31">
        <f>AV31*AW31</f>
        <v/>
      </c>
      <c r="AY31">
        <f>IFERROR(BA31/AZ31,0)</f>
        <v/>
      </c>
      <c r="AZ31">
        <f>SUM(P31,S31,V31,Y31,AB31,AE31,AH31,AK31,AN31,AQ31,AT31,AW31)</f>
        <v/>
      </c>
      <c r="BA31">
        <f>SUM(Q31,T31,W31,Z31,AC31,AF31,AI31,AL31,AO31,AR31,AU31,AX31)</f>
        <v/>
      </c>
      <c r="BB31">
        <f>AY31-L31</f>
        <v/>
      </c>
      <c r="BC31">
        <f>IFERROR(BB31/L31,0)</f>
        <v/>
      </c>
      <c r="BF31">
        <f>VLOOKUP("차량OE"&amp;J31,인자!A:D,4,0)</f>
        <v/>
      </c>
    </row>
    <row r="32">
      <c r="A32" t="inlineStr">
        <is>
          <t>차량 영업부문</t>
        </is>
      </c>
      <c r="B32" t="inlineStr">
        <is>
          <t>차량 OE</t>
        </is>
      </c>
      <c r="C32">
        <f>D32&amp;J32</f>
        <v/>
      </c>
      <c r="D32" t="n">
        <v>9081925</v>
      </c>
      <c r="E32" t="inlineStr">
        <is>
          <t>그린텍배터리A</t>
        </is>
      </c>
      <c r="F32" t="n">
        <v>9081925</v>
      </c>
      <c r="G32" t="inlineStr">
        <is>
          <t>그린텍배터리A</t>
        </is>
      </c>
      <c r="H32" t="inlineStr">
        <is>
          <t>박도윤</t>
        </is>
      </c>
      <c r="I32" t="inlineStr">
        <is>
          <t>창원</t>
        </is>
      </c>
      <c r="J32" t="inlineStr">
        <is>
          <t>차량용 소형 EXP</t>
        </is>
      </c>
      <c r="K32" t="inlineStr">
        <is>
          <t>DUM78551</t>
        </is>
      </c>
      <c r="L32" t="n">
        <v>157580.74</v>
      </c>
      <c r="M32" t="n">
        <v>2133</v>
      </c>
      <c r="N32">
        <f>L32*M32</f>
        <v/>
      </c>
      <c r="O32" t="n">
        <v>147084.7</v>
      </c>
      <c r="P32" t="n">
        <v>1656</v>
      </c>
      <c r="Q32">
        <f>O32*P32</f>
        <v/>
      </c>
      <c r="R32" t="n">
        <v>166440.68</v>
      </c>
      <c r="S32" t="n">
        <v>1837</v>
      </c>
      <c r="T32">
        <f>R32*S32</f>
        <v/>
      </c>
      <c r="U32" t="n">
        <v>169759.04</v>
      </c>
      <c r="V32" t="n">
        <v>2480</v>
      </c>
      <c r="W32">
        <f>U32*V32</f>
        <v/>
      </c>
      <c r="X32" t="n">
        <v>142747.86</v>
      </c>
      <c r="Y32" t="n">
        <v>2526</v>
      </c>
      <c r="Z32">
        <f>X32*Y32</f>
        <v/>
      </c>
      <c r="AA32" t="n">
        <v>150394.45</v>
      </c>
      <c r="AB32" t="n">
        <v>1575</v>
      </c>
      <c r="AC32">
        <f>AA32*AB32</f>
        <v/>
      </c>
      <c r="AD32" t="n">
        <v>164272.35</v>
      </c>
      <c r="AE32" t="n">
        <v>2231</v>
      </c>
      <c r="AF32">
        <f>AD32*AE32</f>
        <v/>
      </c>
      <c r="AG32" t="n">
        <v>144251.62</v>
      </c>
      <c r="AH32" t="n">
        <v>2076</v>
      </c>
      <c r="AI32">
        <f>AG32*AH32</f>
        <v/>
      </c>
      <c r="AJ32" t="n">
        <v>153172.38</v>
      </c>
      <c r="AK32" t="n">
        <v>2133</v>
      </c>
      <c r="AL32">
        <f>AJ32*AK32</f>
        <v/>
      </c>
      <c r="AM32" t="n">
        <v>159688.73</v>
      </c>
      <c r="AN32" t="n">
        <v>1964</v>
      </c>
      <c r="AO32">
        <f>AM32*AN32</f>
        <v/>
      </c>
      <c r="AP32" t="n">
        <v>149862.94</v>
      </c>
      <c r="AQ32" t="n">
        <v>1625</v>
      </c>
      <c r="AR32">
        <f>AP32*AQ32</f>
        <v/>
      </c>
      <c r="AS32" t="n">
        <v>159910.17</v>
      </c>
      <c r="AT32" t="n">
        <v>2418</v>
      </c>
      <c r="AU32">
        <f>AS32*AT32</f>
        <v/>
      </c>
      <c r="AV32" t="n">
        <v>149021.09</v>
      </c>
      <c r="AW32" t="n">
        <v>2144</v>
      </c>
      <c r="AX32">
        <f>AV32*AW32</f>
        <v/>
      </c>
      <c r="AY32">
        <f>IFERROR(BA32/AZ32,0)</f>
        <v/>
      </c>
      <c r="AZ32">
        <f>SUM(P32,S32,V32,Y32,AB32,AE32,AH32,AK32,AN32,AQ32,AT32,AW32)</f>
        <v/>
      </c>
      <c r="BA32">
        <f>SUM(Q32,T32,W32,Z32,AC32,AF32,AI32,AL32,AO32,AR32,AU32,AX32)</f>
        <v/>
      </c>
      <c r="BB32">
        <f>AY32-L32</f>
        <v/>
      </c>
      <c r="BC32">
        <f>IFERROR(BB32/L32,0)</f>
        <v/>
      </c>
      <c r="BF32">
        <f>VLOOKUP("차량OE"&amp;J32,인자!A:D,4,0)</f>
        <v/>
      </c>
    </row>
    <row r="33">
      <c r="A33" t="inlineStr">
        <is>
          <t>차량 영업부문</t>
        </is>
      </c>
      <c r="B33" t="inlineStr">
        <is>
          <t>차량 OE</t>
        </is>
      </c>
      <c r="C33">
        <f>D33&amp;J33</f>
        <v/>
      </c>
      <c r="D33" t="n">
        <v>9081925</v>
      </c>
      <c r="E33" t="inlineStr">
        <is>
          <t>그린텍배터리A</t>
        </is>
      </c>
      <c r="F33" t="n">
        <v>9081925</v>
      </c>
      <c r="G33" t="inlineStr">
        <is>
          <t>그린텍배터리A</t>
        </is>
      </c>
      <c r="H33" t="inlineStr">
        <is>
          <t>권나윤</t>
        </is>
      </c>
      <c r="I33" t="inlineStr">
        <is>
          <t>광주</t>
        </is>
      </c>
      <c r="J33" t="inlineStr">
        <is>
          <t>AGM 3세대</t>
        </is>
      </c>
      <c r="K33" t="inlineStr">
        <is>
          <t>DUM16026</t>
        </is>
      </c>
      <c r="L33" t="n">
        <v>144170.55</v>
      </c>
      <c r="M33" t="n">
        <v>3147</v>
      </c>
      <c r="N33">
        <f>L33*M33</f>
        <v/>
      </c>
      <c r="O33" t="n">
        <v>156287.41</v>
      </c>
      <c r="P33" t="n">
        <v>2541</v>
      </c>
      <c r="Q33">
        <f>O33*P33</f>
        <v/>
      </c>
      <c r="R33" t="n">
        <v>157444.11</v>
      </c>
      <c r="S33" t="n">
        <v>2270</v>
      </c>
      <c r="T33">
        <f>R33*S33</f>
        <v/>
      </c>
      <c r="U33" t="n">
        <v>152910.62</v>
      </c>
      <c r="V33" t="n">
        <v>3551</v>
      </c>
      <c r="W33">
        <f>U33*V33</f>
        <v/>
      </c>
      <c r="X33" t="n">
        <v>148660.12</v>
      </c>
      <c r="Y33" t="n">
        <v>2627</v>
      </c>
      <c r="Z33">
        <f>X33*Y33</f>
        <v/>
      </c>
      <c r="AA33" t="n">
        <v>136911.94</v>
      </c>
      <c r="AB33" t="n">
        <v>3932</v>
      </c>
      <c r="AC33">
        <f>AA33*AB33</f>
        <v/>
      </c>
      <c r="AD33" t="n">
        <v>138978.54</v>
      </c>
      <c r="AE33" t="n">
        <v>3763</v>
      </c>
      <c r="AF33">
        <f>AD33*AE33</f>
        <v/>
      </c>
      <c r="AG33" t="n">
        <v>146233.23</v>
      </c>
      <c r="AH33" t="n">
        <v>2428</v>
      </c>
      <c r="AI33">
        <f>AG33*AH33</f>
        <v/>
      </c>
      <c r="AJ33" t="n">
        <v>149168.24</v>
      </c>
      <c r="AK33" t="n">
        <v>2302</v>
      </c>
      <c r="AL33">
        <f>AJ33*AK33</f>
        <v/>
      </c>
      <c r="AM33" t="n">
        <v>136188.84</v>
      </c>
      <c r="AN33" t="n">
        <v>3177</v>
      </c>
      <c r="AO33">
        <f>AM33*AN33</f>
        <v/>
      </c>
      <c r="AP33" t="n">
        <v>131077.81</v>
      </c>
      <c r="AQ33" t="n">
        <v>2960</v>
      </c>
      <c r="AR33">
        <f>AP33*AQ33</f>
        <v/>
      </c>
      <c r="AS33" t="n">
        <v>155040.76</v>
      </c>
      <c r="AT33" t="n">
        <v>3838</v>
      </c>
      <c r="AU33">
        <f>AS33*AT33</f>
        <v/>
      </c>
      <c r="AV33" t="n">
        <v>152057.47</v>
      </c>
      <c r="AW33" t="n">
        <v>2790</v>
      </c>
      <c r="AX33">
        <f>AV33*AW33</f>
        <v/>
      </c>
      <c r="AY33">
        <f>IFERROR(BA33/AZ33,0)</f>
        <v/>
      </c>
      <c r="AZ33">
        <f>SUM(P33,S33,V33,Y33,AB33,AE33,AH33,AK33,AN33,AQ33,AT33,AW33)</f>
        <v/>
      </c>
      <c r="BA33">
        <f>SUM(Q33,T33,W33,Z33,AC33,AF33,AI33,AL33,AO33,AR33,AU33,AX33)</f>
        <v/>
      </c>
      <c r="BB33">
        <f>AY33-L33</f>
        <v/>
      </c>
      <c r="BC33">
        <f>IFERROR(BB33/L33,0)</f>
        <v/>
      </c>
      <c r="BF33">
        <f>VLOOKUP("차량OE"&amp;J33,인자!A:D,4,0)</f>
        <v/>
      </c>
    </row>
    <row r="34">
      <c r="A34" t="inlineStr">
        <is>
          <t>차량 영업부문</t>
        </is>
      </c>
      <c r="B34" t="inlineStr">
        <is>
          <t>차량 OE</t>
        </is>
      </c>
      <c r="C34">
        <f>D34&amp;J34</f>
        <v/>
      </c>
      <c r="D34" t="n">
        <v>9077832</v>
      </c>
      <c r="E34" t="inlineStr">
        <is>
          <t>우리전지B</t>
        </is>
      </c>
      <c r="F34" t="n">
        <v>9077832</v>
      </c>
      <c r="G34" t="inlineStr">
        <is>
          <t>우리전지B</t>
        </is>
      </c>
      <c r="H34" t="inlineStr">
        <is>
          <t>장수아</t>
        </is>
      </c>
      <c r="I34" t="inlineStr">
        <is>
          <t>창원</t>
        </is>
      </c>
      <c r="J34" t="inlineStr">
        <is>
          <t>차량용 대형 EXP</t>
        </is>
      </c>
      <c r="K34" t="inlineStr">
        <is>
          <t>DUM58354</t>
        </is>
      </c>
      <c r="L34" t="n">
        <v>64197.99</v>
      </c>
      <c r="M34" t="n">
        <v>4628</v>
      </c>
      <c r="N34">
        <f>L34*M34</f>
        <v/>
      </c>
      <c r="O34" t="n">
        <v>67850.95</v>
      </c>
      <c r="P34" t="n">
        <v>5293</v>
      </c>
      <c r="Q34">
        <f>O34*P34</f>
        <v/>
      </c>
      <c r="R34" t="n">
        <v>60892.87</v>
      </c>
      <c r="S34" t="n">
        <v>4262</v>
      </c>
      <c r="T34">
        <f>R34*S34</f>
        <v/>
      </c>
      <c r="U34" t="n">
        <v>70256.45</v>
      </c>
      <c r="V34" t="n">
        <v>6010</v>
      </c>
      <c r="W34">
        <f>U34*V34</f>
        <v/>
      </c>
      <c r="X34" t="n">
        <v>67740.25</v>
      </c>
      <c r="Y34" t="n">
        <v>5274</v>
      </c>
      <c r="Z34">
        <f>X34*Y34</f>
        <v/>
      </c>
      <c r="AA34" t="n">
        <v>64795.79</v>
      </c>
      <c r="AB34" t="n">
        <v>5450</v>
      </c>
      <c r="AC34">
        <f>AA34*AB34</f>
        <v/>
      </c>
      <c r="AD34" t="n">
        <v>59711.4</v>
      </c>
      <c r="AE34" t="n">
        <v>5829</v>
      </c>
      <c r="AF34">
        <f>AD34*AE34</f>
        <v/>
      </c>
      <c r="AG34" t="n">
        <v>58085.19</v>
      </c>
      <c r="AH34" t="n">
        <v>4743</v>
      </c>
      <c r="AI34">
        <f>AG34*AH34</f>
        <v/>
      </c>
      <c r="AJ34" t="n">
        <v>65943.42999999999</v>
      </c>
      <c r="AK34" t="n">
        <v>5165</v>
      </c>
      <c r="AL34">
        <f>AJ34*AK34</f>
        <v/>
      </c>
      <c r="AM34" t="n">
        <v>57901.38</v>
      </c>
      <c r="AN34" t="n">
        <v>4170</v>
      </c>
      <c r="AO34">
        <f>AM34*AN34</f>
        <v/>
      </c>
      <c r="AP34" t="n">
        <v>67522.53999999999</v>
      </c>
      <c r="AQ34" t="n">
        <v>4284</v>
      </c>
      <c r="AR34">
        <f>AP34*AQ34</f>
        <v/>
      </c>
      <c r="AS34" t="n">
        <v>67254.88</v>
      </c>
      <c r="AT34" t="n">
        <v>4093</v>
      </c>
      <c r="AU34">
        <f>AS34*AT34</f>
        <v/>
      </c>
      <c r="AV34" t="n">
        <v>60412.8</v>
      </c>
      <c r="AW34" t="n">
        <v>5970</v>
      </c>
      <c r="AX34">
        <f>AV34*AW34</f>
        <v/>
      </c>
      <c r="AY34">
        <f>IFERROR(BA34/AZ34,0)</f>
        <v/>
      </c>
      <c r="AZ34">
        <f>SUM(P34,S34,V34,Y34,AB34,AE34,AH34,AK34,AN34,AQ34,AT34,AW34)</f>
        <v/>
      </c>
      <c r="BA34">
        <f>SUM(Q34,T34,W34,Z34,AC34,AF34,AI34,AL34,AO34,AR34,AU34,AX34)</f>
        <v/>
      </c>
      <c r="BB34">
        <f>AY34-L34</f>
        <v/>
      </c>
      <c r="BC34">
        <f>IFERROR(BB34/L34,0)</f>
        <v/>
      </c>
      <c r="BF34">
        <f>VLOOKUP("차량OE"&amp;J34,인자!A:D,4,0)</f>
        <v/>
      </c>
    </row>
    <row r="35">
      <c r="A35" t="inlineStr">
        <is>
          <t>차량 영업부문</t>
        </is>
      </c>
      <c r="B35" t="inlineStr">
        <is>
          <t>차량 OE</t>
        </is>
      </c>
      <c r="C35">
        <f>D35&amp;J35</f>
        <v/>
      </c>
      <c r="D35" t="n">
        <v>9081290</v>
      </c>
      <c r="E35" t="inlineStr">
        <is>
          <t>대한상용G</t>
        </is>
      </c>
      <c r="F35" t="n">
        <v>9081290</v>
      </c>
      <c r="G35" t="inlineStr">
        <is>
          <t>대한상용G</t>
        </is>
      </c>
      <c r="H35" t="inlineStr">
        <is>
          <t>윤재원</t>
        </is>
      </c>
      <c r="I35" t="inlineStr">
        <is>
          <t>광주</t>
        </is>
      </c>
      <c r="J35" t="inlineStr">
        <is>
          <t>PREMIUM/ITON</t>
        </is>
      </c>
      <c r="K35" t="inlineStr">
        <is>
          <t>DUM46677</t>
        </is>
      </c>
      <c r="L35" t="n">
        <v>32442.86</v>
      </c>
      <c r="M35" t="n">
        <v>1906</v>
      </c>
      <c r="N35">
        <f>L35*M35</f>
        <v/>
      </c>
      <c r="O35" t="n">
        <v>35020.69</v>
      </c>
      <c r="P35" t="n">
        <v>1929</v>
      </c>
      <c r="Q35">
        <f>O35*P35</f>
        <v/>
      </c>
      <c r="R35" t="n">
        <v>33746.07</v>
      </c>
      <c r="S35" t="n">
        <v>1760</v>
      </c>
      <c r="T35">
        <f>R35*S35</f>
        <v/>
      </c>
      <c r="U35" t="n">
        <v>35522.04</v>
      </c>
      <c r="V35" t="n">
        <v>1431</v>
      </c>
      <c r="W35">
        <f>U35*V35</f>
        <v/>
      </c>
      <c r="X35" t="n">
        <v>29818.73</v>
      </c>
      <c r="Y35" t="n">
        <v>1487</v>
      </c>
      <c r="Z35">
        <f>X35*Y35</f>
        <v/>
      </c>
      <c r="AA35" t="n">
        <v>34518.96</v>
      </c>
      <c r="AB35" t="n">
        <v>1420</v>
      </c>
      <c r="AC35">
        <f>AA35*AB35</f>
        <v/>
      </c>
      <c r="AD35" t="n">
        <v>32882.92</v>
      </c>
      <c r="AE35" t="n">
        <v>1832</v>
      </c>
      <c r="AF35">
        <f>AD35*AE35</f>
        <v/>
      </c>
      <c r="AG35" t="n">
        <v>35454.97</v>
      </c>
      <c r="AH35" t="n">
        <v>1605</v>
      </c>
      <c r="AI35">
        <f>AG35*AH35</f>
        <v/>
      </c>
      <c r="AJ35" t="n">
        <v>30892.03</v>
      </c>
      <c r="AK35" t="n">
        <v>1694</v>
      </c>
      <c r="AL35">
        <f>AJ35*AK35</f>
        <v/>
      </c>
      <c r="AM35" t="n">
        <v>34394.73</v>
      </c>
      <c r="AN35" t="n">
        <v>2136</v>
      </c>
      <c r="AO35">
        <f>AM35*AN35</f>
        <v/>
      </c>
      <c r="AP35" t="n">
        <v>33969.96</v>
      </c>
      <c r="AQ35" t="n">
        <v>1698</v>
      </c>
      <c r="AR35">
        <f>AP35*AQ35</f>
        <v/>
      </c>
      <c r="AS35" t="n">
        <v>30963.18</v>
      </c>
      <c r="AT35" t="n">
        <v>1420</v>
      </c>
      <c r="AU35">
        <f>AS35*AT35</f>
        <v/>
      </c>
      <c r="AV35" t="n">
        <v>30513.89</v>
      </c>
      <c r="AW35" t="n">
        <v>2226</v>
      </c>
      <c r="AX35">
        <f>AV35*AW35</f>
        <v/>
      </c>
      <c r="AY35">
        <f>IFERROR(BA35/AZ35,0)</f>
        <v/>
      </c>
      <c r="AZ35">
        <f>SUM(P35,S35,V35,Y35,AB35,AE35,AH35,AK35,AN35,AQ35,AT35,AW35)</f>
        <v/>
      </c>
      <c r="BA35">
        <f>SUM(Q35,T35,W35,Z35,AC35,AF35,AI35,AL35,AO35,AR35,AU35,AX35)</f>
        <v/>
      </c>
      <c r="BB35">
        <f>AY35-L35</f>
        <v/>
      </c>
      <c r="BC35">
        <f>IFERROR(BB35/L35,0)</f>
        <v/>
      </c>
      <c r="BF35">
        <f>VLOOKUP("차량OE"&amp;J35,인자!A:D,4,0)</f>
        <v/>
      </c>
    </row>
    <row r="36">
      <c r="A36" t="inlineStr">
        <is>
          <t>차량 영업부문</t>
        </is>
      </c>
      <c r="B36" t="inlineStr">
        <is>
          <t>차량 OE</t>
        </is>
      </c>
      <c r="C36">
        <f>D36&amp;J36</f>
        <v/>
      </c>
      <c r="D36" t="n">
        <v>9077832</v>
      </c>
      <c r="E36" t="inlineStr">
        <is>
          <t>우리전지B</t>
        </is>
      </c>
      <c r="F36" t="n">
        <v>9077832</v>
      </c>
      <c r="G36" t="inlineStr">
        <is>
          <t>우리전지B</t>
        </is>
      </c>
      <c r="H36" t="inlineStr">
        <is>
          <t>박도윤</t>
        </is>
      </c>
      <c r="I36" t="inlineStr">
        <is>
          <t>광주</t>
        </is>
      </c>
      <c r="J36" t="inlineStr">
        <is>
          <t>PREMIUM/ITON</t>
        </is>
      </c>
      <c r="K36" t="inlineStr">
        <is>
          <t>DUM68925</t>
        </is>
      </c>
      <c r="L36" t="n">
        <v>142486.26</v>
      </c>
      <c r="M36" t="n">
        <v>3340</v>
      </c>
      <c r="N36">
        <f>L36*M36</f>
        <v/>
      </c>
      <c r="O36" t="n">
        <v>131678.3</v>
      </c>
      <c r="P36" t="n">
        <v>3056</v>
      </c>
      <c r="Q36">
        <f>O36*P36</f>
        <v/>
      </c>
      <c r="R36" t="n">
        <v>150190.11</v>
      </c>
      <c r="S36" t="n">
        <v>3244</v>
      </c>
      <c r="T36">
        <f>R36*S36</f>
        <v/>
      </c>
      <c r="U36" t="n">
        <v>141441.74</v>
      </c>
      <c r="V36" t="n">
        <v>4046</v>
      </c>
      <c r="W36">
        <f>U36*V36</f>
        <v/>
      </c>
      <c r="X36" t="n">
        <v>130814.38</v>
      </c>
      <c r="Y36" t="n">
        <v>3956</v>
      </c>
      <c r="Z36">
        <f>X36*Y36</f>
        <v/>
      </c>
      <c r="AA36" t="n">
        <v>136906.93</v>
      </c>
      <c r="AB36" t="n">
        <v>3750</v>
      </c>
      <c r="AC36">
        <f>AA36*AB36</f>
        <v/>
      </c>
      <c r="AD36" t="n">
        <v>145430.1</v>
      </c>
      <c r="AE36" t="n">
        <v>2769</v>
      </c>
      <c r="AF36">
        <f>AD36*AE36</f>
        <v/>
      </c>
      <c r="AG36" t="n">
        <v>152647.62</v>
      </c>
      <c r="AH36" t="n">
        <v>2635</v>
      </c>
      <c r="AI36">
        <f>AG36*AH36</f>
        <v/>
      </c>
      <c r="AJ36" t="n">
        <v>148503.67</v>
      </c>
      <c r="AK36" t="n">
        <v>4279</v>
      </c>
      <c r="AL36">
        <f>AJ36*AK36</f>
        <v/>
      </c>
      <c r="AM36" t="n">
        <v>139529.51</v>
      </c>
      <c r="AN36" t="n">
        <v>2436</v>
      </c>
      <c r="AO36">
        <f>AM36*AN36</f>
        <v/>
      </c>
      <c r="AP36" t="n">
        <v>136753.77</v>
      </c>
      <c r="AQ36" t="n">
        <v>3981</v>
      </c>
      <c r="AR36">
        <f>AP36*AQ36</f>
        <v/>
      </c>
      <c r="AS36" t="n">
        <v>133192.39</v>
      </c>
      <c r="AT36" t="n">
        <v>4246</v>
      </c>
      <c r="AU36">
        <f>AS36*AT36</f>
        <v/>
      </c>
      <c r="AV36" t="n">
        <v>152591.42</v>
      </c>
      <c r="AW36" t="n">
        <v>3452</v>
      </c>
      <c r="AX36">
        <f>AV36*AW36</f>
        <v/>
      </c>
      <c r="AY36">
        <f>IFERROR(BA36/AZ36,0)</f>
        <v/>
      </c>
      <c r="AZ36">
        <f>SUM(P36,S36,V36,Y36,AB36,AE36,AH36,AK36,AN36,AQ36,AT36,AW36)</f>
        <v/>
      </c>
      <c r="BA36">
        <f>SUM(Q36,T36,W36,Z36,AC36,AF36,AI36,AL36,AO36,AR36,AU36,AX36)</f>
        <v/>
      </c>
      <c r="BB36">
        <f>AY36-L36</f>
        <v/>
      </c>
      <c r="BC36">
        <f>IFERROR(BB36/L36,0)</f>
        <v/>
      </c>
      <c r="BF36">
        <f>VLOOKUP("차량OE"&amp;J36,인자!A:D,4,0)</f>
        <v/>
      </c>
    </row>
    <row r="37">
      <c r="A37" t="inlineStr">
        <is>
          <t>차량 영업부문</t>
        </is>
      </c>
      <c r="B37" t="inlineStr">
        <is>
          <t>차량 OE</t>
        </is>
      </c>
      <c r="C37">
        <f>D37&amp;J37</f>
        <v/>
      </c>
      <c r="D37" t="n">
        <v>9014022</v>
      </c>
      <c r="E37" t="inlineStr">
        <is>
          <t>우리전지D</t>
        </is>
      </c>
      <c r="F37" t="n">
        <v>9014022</v>
      </c>
      <c r="G37" t="inlineStr">
        <is>
          <t>우리전지D</t>
        </is>
      </c>
      <c r="H37" t="inlineStr">
        <is>
          <t>이서연</t>
        </is>
      </c>
      <c r="I37" t="inlineStr">
        <is>
          <t>창원</t>
        </is>
      </c>
      <c r="J37" t="inlineStr">
        <is>
          <t>차량용 중형 EXP</t>
        </is>
      </c>
      <c r="K37" t="inlineStr">
        <is>
          <t>DUM28322</t>
        </is>
      </c>
      <c r="L37" t="n">
        <v>40828.71</v>
      </c>
      <c r="M37" t="n">
        <v>515</v>
      </c>
      <c r="N37">
        <f>L37*M37</f>
        <v/>
      </c>
      <c r="O37" t="n">
        <v>43526.45</v>
      </c>
      <c r="P37" t="n">
        <v>664</v>
      </c>
      <c r="Q37">
        <f>O37*P37</f>
        <v/>
      </c>
      <c r="R37" t="n">
        <v>37813.23</v>
      </c>
      <c r="S37" t="n">
        <v>615</v>
      </c>
      <c r="T37">
        <f>R37*S37</f>
        <v/>
      </c>
      <c r="U37" t="n">
        <v>39785.45</v>
      </c>
      <c r="V37" t="n">
        <v>555</v>
      </c>
      <c r="W37">
        <f>U37*V37</f>
        <v/>
      </c>
      <c r="X37" t="n">
        <v>42010.17</v>
      </c>
      <c r="Y37" t="n">
        <v>540</v>
      </c>
      <c r="Z37">
        <f>X37*Y37</f>
        <v/>
      </c>
      <c r="AA37" t="n">
        <v>38859.3</v>
      </c>
      <c r="AB37" t="n">
        <v>612</v>
      </c>
      <c r="AC37">
        <f>AA37*AB37</f>
        <v/>
      </c>
      <c r="AD37" t="n">
        <v>36923.85</v>
      </c>
      <c r="AE37" t="n">
        <v>380</v>
      </c>
      <c r="AF37">
        <f>AD37*AE37</f>
        <v/>
      </c>
      <c r="AG37" t="n">
        <v>44115.39</v>
      </c>
      <c r="AH37" t="n">
        <v>498</v>
      </c>
      <c r="AI37">
        <f>AG37*AH37</f>
        <v/>
      </c>
      <c r="AJ37" t="n">
        <v>37797.52</v>
      </c>
      <c r="AK37" t="n">
        <v>640</v>
      </c>
      <c r="AL37">
        <f>AJ37*AK37</f>
        <v/>
      </c>
      <c r="AM37" t="n">
        <v>43518.15</v>
      </c>
      <c r="AN37" t="n">
        <v>463</v>
      </c>
      <c r="AO37">
        <f>AM37*AN37</f>
        <v/>
      </c>
      <c r="AP37" t="n">
        <v>37094.49</v>
      </c>
      <c r="AQ37" t="n">
        <v>503</v>
      </c>
      <c r="AR37">
        <f>AP37*AQ37</f>
        <v/>
      </c>
      <c r="AS37" t="n">
        <v>38117.6</v>
      </c>
      <c r="AT37" t="n">
        <v>538</v>
      </c>
      <c r="AU37">
        <f>AS37*AT37</f>
        <v/>
      </c>
      <c r="AV37" t="n">
        <v>43455.51</v>
      </c>
      <c r="AW37" t="n">
        <v>483</v>
      </c>
      <c r="AX37">
        <f>AV37*AW37</f>
        <v/>
      </c>
      <c r="AY37">
        <f>IFERROR(BA37/AZ37,0)</f>
        <v/>
      </c>
      <c r="AZ37">
        <f>SUM(P37,S37,V37,Y37,AB37,AE37,AH37,AK37,AN37,AQ37,AT37,AW37)</f>
        <v/>
      </c>
      <c r="BA37">
        <f>SUM(Q37,T37,W37,Z37,AC37,AF37,AI37,AL37,AO37,AR37,AU37,AX37)</f>
        <v/>
      </c>
      <c r="BB37">
        <f>AY37-L37</f>
        <v/>
      </c>
      <c r="BC37">
        <f>IFERROR(BB37/L37,0)</f>
        <v/>
      </c>
      <c r="BF37">
        <f>VLOOKUP("차량OE"&amp;J37,인자!A:D,4,0)</f>
        <v/>
      </c>
    </row>
    <row r="38">
      <c r="A38" t="inlineStr">
        <is>
          <t>차량 영업부문</t>
        </is>
      </c>
      <c r="B38" t="inlineStr">
        <is>
          <t>차량 OE</t>
        </is>
      </c>
      <c r="C38">
        <f>D38&amp;J38</f>
        <v/>
      </c>
      <c r="D38" t="n">
        <v>9081925</v>
      </c>
      <c r="E38" t="inlineStr">
        <is>
          <t>그린텍배터리A</t>
        </is>
      </c>
      <c r="F38" t="n">
        <v>9081925</v>
      </c>
      <c r="G38" t="inlineStr">
        <is>
          <t>그린텍배터리A</t>
        </is>
      </c>
      <c r="H38" t="inlineStr">
        <is>
          <t>조유나</t>
        </is>
      </c>
      <c r="I38" t="inlineStr">
        <is>
          <t>창원</t>
        </is>
      </c>
      <c r="J38" t="inlineStr">
        <is>
          <t>PREMIUM/ITON</t>
        </is>
      </c>
      <c r="K38" t="inlineStr">
        <is>
          <t>DUM56392</t>
        </is>
      </c>
      <c r="L38" t="n">
        <v>68341.25</v>
      </c>
      <c r="M38" t="n">
        <v>1543</v>
      </c>
      <c r="N38">
        <f>L38*M38</f>
        <v/>
      </c>
      <c r="O38" t="n">
        <v>65265.64</v>
      </c>
      <c r="P38" t="n">
        <v>1493</v>
      </c>
      <c r="Q38">
        <f>O38*P38</f>
        <v/>
      </c>
      <c r="R38" t="n">
        <v>63538.66</v>
      </c>
      <c r="S38" t="n">
        <v>1649</v>
      </c>
      <c r="T38">
        <f>R38*S38</f>
        <v/>
      </c>
      <c r="U38" t="n">
        <v>69940.12</v>
      </c>
      <c r="V38" t="n">
        <v>1679</v>
      </c>
      <c r="W38">
        <f>U38*V38</f>
        <v/>
      </c>
      <c r="X38" t="n">
        <v>68326.10000000001</v>
      </c>
      <c r="Y38" t="n">
        <v>1897</v>
      </c>
      <c r="Z38">
        <f>X38*Y38</f>
        <v/>
      </c>
      <c r="AA38" t="n">
        <v>68054.64</v>
      </c>
      <c r="AB38" t="n">
        <v>1161</v>
      </c>
      <c r="AC38">
        <f>AA38*AB38</f>
        <v/>
      </c>
      <c r="AD38" t="n">
        <v>66742.27</v>
      </c>
      <c r="AE38" t="n">
        <v>1468</v>
      </c>
      <c r="AF38">
        <f>AD38*AE38</f>
        <v/>
      </c>
      <c r="AG38" t="n">
        <v>70291.06</v>
      </c>
      <c r="AH38" t="n">
        <v>1818</v>
      </c>
      <c r="AI38">
        <f>AG38*AH38</f>
        <v/>
      </c>
      <c r="AJ38" t="n">
        <v>64912.54</v>
      </c>
      <c r="AK38" t="n">
        <v>2000</v>
      </c>
      <c r="AL38">
        <f>AJ38*AK38</f>
        <v/>
      </c>
      <c r="AM38" t="n">
        <v>68937.96000000001</v>
      </c>
      <c r="AN38" t="n">
        <v>1098</v>
      </c>
      <c r="AO38">
        <f>AM38*AN38</f>
        <v/>
      </c>
      <c r="AP38" t="n">
        <v>66735.2</v>
      </c>
      <c r="AQ38" t="n">
        <v>1741</v>
      </c>
      <c r="AR38">
        <f>AP38*AQ38</f>
        <v/>
      </c>
      <c r="AS38" t="n">
        <v>68063.57000000001</v>
      </c>
      <c r="AT38" t="n">
        <v>1804</v>
      </c>
      <c r="AU38">
        <f>AS38*AT38</f>
        <v/>
      </c>
      <c r="AV38" t="n">
        <v>66209.47</v>
      </c>
      <c r="AW38" t="n">
        <v>1604</v>
      </c>
      <c r="AX38">
        <f>AV38*AW38</f>
        <v/>
      </c>
      <c r="AY38">
        <f>IFERROR(BA38/AZ38,0)</f>
        <v/>
      </c>
      <c r="AZ38">
        <f>SUM(P38,S38,V38,Y38,AB38,AE38,AH38,AK38,AN38,AQ38,AT38,AW38)</f>
        <v/>
      </c>
      <c r="BA38">
        <f>SUM(Q38,T38,W38,Z38,AC38,AF38,AI38,AL38,AO38,AR38,AU38,AX38)</f>
        <v/>
      </c>
      <c r="BB38">
        <f>AY38-L38</f>
        <v/>
      </c>
      <c r="BC38">
        <f>IFERROR(BB38/L38,0)</f>
        <v/>
      </c>
      <c r="BF38">
        <f>VLOOKUP("차량OE"&amp;J38,인자!A:D,4,0)</f>
        <v/>
      </c>
    </row>
    <row r="39">
      <c r="A39" t="inlineStr">
        <is>
          <t>차량 영업부문</t>
        </is>
      </c>
      <c r="B39" t="inlineStr">
        <is>
          <t>차량 OE</t>
        </is>
      </c>
      <c r="C39">
        <f>D39&amp;J39</f>
        <v/>
      </c>
      <c r="D39" t="n">
        <v>9051865</v>
      </c>
      <c r="E39" t="inlineStr">
        <is>
          <t>가상상사F</t>
        </is>
      </c>
      <c r="F39" t="n">
        <v>9051865</v>
      </c>
      <c r="G39" t="inlineStr">
        <is>
          <t>가상상사F</t>
        </is>
      </c>
      <c r="H39" t="inlineStr">
        <is>
          <t>조유나</t>
        </is>
      </c>
      <c r="I39" t="inlineStr">
        <is>
          <t>창원</t>
        </is>
      </c>
      <c r="J39" t="inlineStr">
        <is>
          <t>PREMIUM/ITON</t>
        </is>
      </c>
      <c r="K39" t="inlineStr">
        <is>
          <t>DUM13416</t>
        </is>
      </c>
      <c r="L39" t="n">
        <v>99068.88</v>
      </c>
      <c r="M39" t="n">
        <v>1804</v>
      </c>
      <c r="N39">
        <f>L39*M39</f>
        <v/>
      </c>
      <c r="O39" t="n">
        <v>89742.60000000001</v>
      </c>
      <c r="P39" t="n">
        <v>2140</v>
      </c>
      <c r="Q39">
        <f>O39*P39</f>
        <v/>
      </c>
      <c r="R39" t="n">
        <v>94728.33</v>
      </c>
      <c r="S39" t="n">
        <v>2138</v>
      </c>
      <c r="T39">
        <f>R39*S39</f>
        <v/>
      </c>
      <c r="U39" t="n">
        <v>98507.84</v>
      </c>
      <c r="V39" t="n">
        <v>1650</v>
      </c>
      <c r="W39">
        <f>U39*V39</f>
        <v/>
      </c>
      <c r="X39" t="n">
        <v>100733.02</v>
      </c>
      <c r="Y39" t="n">
        <v>1515</v>
      </c>
      <c r="Z39">
        <f>X39*Y39</f>
        <v/>
      </c>
      <c r="AA39" t="n">
        <v>92324.75999999999</v>
      </c>
      <c r="AB39" t="n">
        <v>1531</v>
      </c>
      <c r="AC39">
        <f>AA39*AB39</f>
        <v/>
      </c>
      <c r="AD39" t="n">
        <v>93940.14</v>
      </c>
      <c r="AE39" t="n">
        <v>1840</v>
      </c>
      <c r="AF39">
        <f>AD39*AE39</f>
        <v/>
      </c>
      <c r="AG39" t="n">
        <v>104839.39</v>
      </c>
      <c r="AH39" t="n">
        <v>2061</v>
      </c>
      <c r="AI39">
        <f>AG39*AH39</f>
        <v/>
      </c>
      <c r="AJ39" t="n">
        <v>104300.7</v>
      </c>
      <c r="AK39" t="n">
        <v>2289</v>
      </c>
      <c r="AL39">
        <f>AJ39*AK39</f>
        <v/>
      </c>
      <c r="AM39" t="n">
        <v>100568.63</v>
      </c>
      <c r="AN39" t="n">
        <v>2326</v>
      </c>
      <c r="AO39">
        <f>AM39*AN39</f>
        <v/>
      </c>
      <c r="AP39" t="n">
        <v>96858.11</v>
      </c>
      <c r="AQ39" t="n">
        <v>2275</v>
      </c>
      <c r="AR39">
        <f>AP39*AQ39</f>
        <v/>
      </c>
      <c r="AS39" t="n">
        <v>108808.18</v>
      </c>
      <c r="AT39" t="n">
        <v>1451</v>
      </c>
      <c r="AU39">
        <f>AS39*AT39</f>
        <v/>
      </c>
      <c r="AV39" t="n">
        <v>93848.96000000001</v>
      </c>
      <c r="AW39" t="n">
        <v>1607</v>
      </c>
      <c r="AX39">
        <f>AV39*AW39</f>
        <v/>
      </c>
      <c r="AY39">
        <f>IFERROR(BA39/AZ39,0)</f>
        <v/>
      </c>
      <c r="AZ39">
        <f>SUM(P39,S39,V39,Y39,AB39,AE39,AH39,AK39,AN39,AQ39,AT39,AW39)</f>
        <v/>
      </c>
      <c r="BA39">
        <f>SUM(Q39,T39,W39,Z39,AC39,AF39,AI39,AL39,AO39,AR39,AU39,AX39)</f>
        <v/>
      </c>
      <c r="BB39">
        <f>AY39-L39</f>
        <v/>
      </c>
      <c r="BC39">
        <f>IFERROR(BB39/L39,0)</f>
        <v/>
      </c>
      <c r="BF39">
        <f>VLOOKUP("차량OE"&amp;J39,인자!A:D,4,0)</f>
        <v/>
      </c>
    </row>
    <row r="40">
      <c r="A40" t="inlineStr">
        <is>
          <t>차량 영업부문</t>
        </is>
      </c>
      <c r="B40" t="inlineStr">
        <is>
          <t>차량 OE</t>
        </is>
      </c>
      <c r="C40">
        <f>D40&amp;J40</f>
        <v/>
      </c>
      <c r="D40" t="n">
        <v>9051865</v>
      </c>
      <c r="E40" t="inlineStr">
        <is>
          <t>가상상사F</t>
        </is>
      </c>
      <c r="F40" t="n">
        <v>9051865</v>
      </c>
      <c r="G40" t="inlineStr">
        <is>
          <t>가상상사F</t>
        </is>
      </c>
      <c r="H40" t="inlineStr">
        <is>
          <t>황준서</t>
        </is>
      </c>
      <c r="I40" t="inlineStr">
        <is>
          <t>광주</t>
        </is>
      </c>
      <c r="J40" t="inlineStr">
        <is>
          <t>MF 대형 EXP</t>
        </is>
      </c>
      <c r="K40" t="inlineStr">
        <is>
          <t>DUM56095</t>
        </is>
      </c>
      <c r="L40" t="n">
        <v>284529.83</v>
      </c>
      <c r="M40" t="n">
        <v>4627</v>
      </c>
      <c r="N40">
        <f>L40*M40</f>
        <v/>
      </c>
      <c r="O40" t="n">
        <v>264163.32</v>
      </c>
      <c r="P40" t="n">
        <v>5872</v>
      </c>
      <c r="Q40">
        <f>O40*P40</f>
        <v/>
      </c>
      <c r="R40" t="n">
        <v>303689.89</v>
      </c>
      <c r="S40" t="n">
        <v>5489</v>
      </c>
      <c r="T40">
        <f>R40*S40</f>
        <v/>
      </c>
      <c r="U40" t="n">
        <v>311297.7</v>
      </c>
      <c r="V40" t="n">
        <v>4744</v>
      </c>
      <c r="W40">
        <f>U40*V40</f>
        <v/>
      </c>
      <c r="X40" t="n">
        <v>266067.07</v>
      </c>
      <c r="Y40" t="n">
        <v>3344</v>
      </c>
      <c r="Z40">
        <f>X40*Y40</f>
        <v/>
      </c>
      <c r="AA40" t="n">
        <v>259273.14</v>
      </c>
      <c r="AB40" t="n">
        <v>4909</v>
      </c>
      <c r="AC40">
        <f>AA40*AB40</f>
        <v/>
      </c>
      <c r="AD40" t="n">
        <v>257210.87</v>
      </c>
      <c r="AE40" t="n">
        <v>4566</v>
      </c>
      <c r="AF40">
        <f>AD40*AE40</f>
        <v/>
      </c>
      <c r="AG40" t="n">
        <v>274954.49</v>
      </c>
      <c r="AH40" t="n">
        <v>4944</v>
      </c>
      <c r="AI40">
        <f>AG40*AH40</f>
        <v/>
      </c>
      <c r="AJ40" t="n">
        <v>301968.4</v>
      </c>
      <c r="AK40" t="n">
        <v>4185</v>
      </c>
      <c r="AL40">
        <f>AJ40*AK40</f>
        <v/>
      </c>
      <c r="AM40" t="n">
        <v>266175.37</v>
      </c>
      <c r="AN40" t="n">
        <v>5467</v>
      </c>
      <c r="AO40">
        <f>AM40*AN40</f>
        <v/>
      </c>
      <c r="AP40" t="n">
        <v>305483.58</v>
      </c>
      <c r="AQ40" t="n">
        <v>3404</v>
      </c>
      <c r="AR40">
        <f>AP40*AQ40</f>
        <v/>
      </c>
      <c r="AS40" t="n">
        <v>264482.54</v>
      </c>
      <c r="AT40" t="n">
        <v>5195</v>
      </c>
      <c r="AU40">
        <f>AS40*AT40</f>
        <v/>
      </c>
      <c r="AV40" t="n">
        <v>264137.73</v>
      </c>
      <c r="AW40" t="n">
        <v>3547</v>
      </c>
      <c r="AX40">
        <f>AV40*AW40</f>
        <v/>
      </c>
      <c r="AY40">
        <f>IFERROR(BA40/AZ40,0)</f>
        <v/>
      </c>
      <c r="AZ40">
        <f>SUM(P40,S40,V40,Y40,AB40,AE40,AH40,AK40,AN40,AQ40,AT40,AW40)</f>
        <v/>
      </c>
      <c r="BA40">
        <f>SUM(Q40,T40,W40,Z40,AC40,AF40,AI40,AL40,AO40,AR40,AU40,AX40)</f>
        <v/>
      </c>
      <c r="BB40">
        <f>AY40-L40</f>
        <v/>
      </c>
      <c r="BC40">
        <f>IFERROR(BB40/L40,0)</f>
        <v/>
      </c>
      <c r="BF40">
        <f>VLOOKUP("차량OE"&amp;J40,인자!A:D,4,0)</f>
        <v/>
      </c>
    </row>
    <row r="41">
      <c r="A41" t="inlineStr">
        <is>
          <t>차량 영업부문</t>
        </is>
      </c>
      <c r="B41" t="inlineStr">
        <is>
          <t>차량 OE</t>
        </is>
      </c>
      <c r="C41">
        <f>D41&amp;J41</f>
        <v/>
      </c>
      <c r="D41" t="n">
        <v>9051865</v>
      </c>
      <c r="E41" t="inlineStr">
        <is>
          <t>가상상사F</t>
        </is>
      </c>
      <c r="F41" t="n">
        <v>9051865</v>
      </c>
      <c r="G41" t="inlineStr">
        <is>
          <t>가상상사F</t>
        </is>
      </c>
      <c r="H41" t="inlineStr">
        <is>
          <t>이서연</t>
        </is>
      </c>
      <c r="I41" t="inlineStr">
        <is>
          <t>창원</t>
        </is>
      </c>
      <c r="J41" t="inlineStr">
        <is>
          <t>MF 대형 EXP</t>
        </is>
      </c>
      <c r="K41" t="inlineStr">
        <is>
          <t>DUM96787</t>
        </is>
      </c>
      <c r="L41" t="n">
        <v>121700.69</v>
      </c>
      <c r="M41" t="n">
        <v>837</v>
      </c>
      <c r="N41">
        <f>L41*M41</f>
        <v/>
      </c>
      <c r="O41" t="n">
        <v>117722.56</v>
      </c>
      <c r="P41" t="n">
        <v>748</v>
      </c>
      <c r="Q41">
        <f>O41*P41</f>
        <v/>
      </c>
      <c r="R41" t="n">
        <v>133283.2</v>
      </c>
      <c r="S41" t="n">
        <v>954</v>
      </c>
      <c r="T41">
        <f>R41*S41</f>
        <v/>
      </c>
      <c r="U41" t="n">
        <v>120164.06</v>
      </c>
      <c r="V41" t="n">
        <v>907</v>
      </c>
      <c r="W41">
        <f>U41*V41</f>
        <v/>
      </c>
      <c r="X41" t="n">
        <v>121389.14</v>
      </c>
      <c r="Y41" t="n">
        <v>745</v>
      </c>
      <c r="Z41">
        <f>X41*Y41</f>
        <v/>
      </c>
      <c r="AA41" t="n">
        <v>126743.55</v>
      </c>
      <c r="AB41" t="n">
        <v>868</v>
      </c>
      <c r="AC41">
        <f>AA41*AB41</f>
        <v/>
      </c>
      <c r="AD41" t="n">
        <v>131183.61</v>
      </c>
      <c r="AE41" t="n">
        <v>894</v>
      </c>
      <c r="AF41">
        <f>AD41*AE41</f>
        <v/>
      </c>
      <c r="AG41" t="n">
        <v>118215.8</v>
      </c>
      <c r="AH41" t="n">
        <v>920</v>
      </c>
      <c r="AI41">
        <f>AG41*AH41</f>
        <v/>
      </c>
      <c r="AJ41" t="n">
        <v>129354.55</v>
      </c>
      <c r="AK41" t="n">
        <v>776</v>
      </c>
      <c r="AL41">
        <f>AJ41*AK41</f>
        <v/>
      </c>
      <c r="AM41" t="n">
        <v>127396.16</v>
      </c>
      <c r="AN41" t="n">
        <v>734</v>
      </c>
      <c r="AO41">
        <f>AM41*AN41</f>
        <v/>
      </c>
      <c r="AP41" t="n">
        <v>113856.07</v>
      </c>
      <c r="AQ41" t="n">
        <v>587</v>
      </c>
      <c r="AR41">
        <f>AP41*AQ41</f>
        <v/>
      </c>
      <c r="AS41" t="n">
        <v>126617.6</v>
      </c>
      <c r="AT41" t="n">
        <v>874</v>
      </c>
      <c r="AU41">
        <f>AS41*AT41</f>
        <v/>
      </c>
      <c r="AV41" t="n">
        <v>130238.16</v>
      </c>
      <c r="AW41" t="n">
        <v>973</v>
      </c>
      <c r="AX41">
        <f>AV41*AW41</f>
        <v/>
      </c>
      <c r="AY41">
        <f>IFERROR(BA41/AZ41,0)</f>
        <v/>
      </c>
      <c r="AZ41">
        <f>SUM(P41,S41,V41,Y41,AB41,AE41,AH41,AK41,AN41,AQ41,AT41,AW41)</f>
        <v/>
      </c>
      <c r="BA41">
        <f>SUM(Q41,T41,W41,Z41,AC41,AF41,AI41,AL41,AO41,AR41,AU41,AX41)</f>
        <v/>
      </c>
      <c r="BB41">
        <f>AY41-L41</f>
        <v/>
      </c>
      <c r="BC41">
        <f>IFERROR(BB41/L41,0)</f>
        <v/>
      </c>
      <c r="BF41">
        <f>VLOOKUP("차량OE"&amp;J41,인자!A:D,4,0)</f>
        <v/>
      </c>
    </row>
    <row r="42">
      <c r="A42" t="inlineStr">
        <is>
          <t>차량 영업부문</t>
        </is>
      </c>
      <c r="B42" t="inlineStr">
        <is>
          <t>차량 OE</t>
        </is>
      </c>
      <c r="C42">
        <f>D42&amp;J42</f>
        <v/>
      </c>
      <c r="D42" t="n">
        <v>9081925</v>
      </c>
      <c r="E42" t="inlineStr">
        <is>
          <t>그린텍배터리A</t>
        </is>
      </c>
      <c r="F42" t="n">
        <v>9081925</v>
      </c>
      <c r="G42" t="inlineStr">
        <is>
          <t>그린텍배터리A</t>
        </is>
      </c>
      <c r="H42" t="inlineStr">
        <is>
          <t>박도윤</t>
        </is>
      </c>
      <c r="I42" t="inlineStr">
        <is>
          <t>창원</t>
        </is>
      </c>
      <c r="J42" t="inlineStr">
        <is>
          <t>차량용 대형 PH</t>
        </is>
      </c>
      <c r="K42" t="inlineStr">
        <is>
          <t>DUM90134</t>
        </is>
      </c>
      <c r="L42" t="n">
        <v>70164.10000000001</v>
      </c>
      <c r="M42" t="n">
        <v>4642</v>
      </c>
      <c r="N42">
        <f>L42*M42</f>
        <v/>
      </c>
      <c r="O42" t="n">
        <v>64608.65</v>
      </c>
      <c r="P42" t="n">
        <v>4631</v>
      </c>
      <c r="Q42">
        <f>O42*P42</f>
        <v/>
      </c>
      <c r="R42" t="n">
        <v>67794.92</v>
      </c>
      <c r="S42" t="n">
        <v>3466</v>
      </c>
      <c r="T42">
        <f>R42*S42</f>
        <v/>
      </c>
      <c r="U42" t="n">
        <v>68014.41</v>
      </c>
      <c r="V42" t="n">
        <v>4139</v>
      </c>
      <c r="W42">
        <f>U42*V42</f>
        <v/>
      </c>
      <c r="X42" t="n">
        <v>72075.17999999999</v>
      </c>
      <c r="Y42" t="n">
        <v>5932</v>
      </c>
      <c r="Z42">
        <f>X42*Y42</f>
        <v/>
      </c>
      <c r="AA42" t="n">
        <v>74677.92</v>
      </c>
      <c r="AB42" t="n">
        <v>5116</v>
      </c>
      <c r="AC42">
        <f>AA42*AB42</f>
        <v/>
      </c>
      <c r="AD42" t="n">
        <v>73381.63</v>
      </c>
      <c r="AE42" t="n">
        <v>4185</v>
      </c>
      <c r="AF42">
        <f>AD42*AE42</f>
        <v/>
      </c>
      <c r="AG42" t="n">
        <v>63307.6</v>
      </c>
      <c r="AH42" t="n">
        <v>3833</v>
      </c>
      <c r="AI42">
        <f>AG42*AH42</f>
        <v/>
      </c>
      <c r="AJ42" t="n">
        <v>72874.91</v>
      </c>
      <c r="AK42" t="n">
        <v>4226</v>
      </c>
      <c r="AL42">
        <f>AJ42*AK42</f>
        <v/>
      </c>
      <c r="AM42" t="n">
        <v>74191.8</v>
      </c>
      <c r="AN42" t="n">
        <v>5256</v>
      </c>
      <c r="AO42">
        <f>AM42*AN42</f>
        <v/>
      </c>
      <c r="AP42" t="n">
        <v>63823.33</v>
      </c>
      <c r="AQ42" t="n">
        <v>4470</v>
      </c>
      <c r="AR42">
        <f>AP42*AQ42</f>
        <v/>
      </c>
      <c r="AS42" t="n">
        <v>69036.61</v>
      </c>
      <c r="AT42" t="n">
        <v>3713</v>
      </c>
      <c r="AU42">
        <f>AS42*AT42</f>
        <v/>
      </c>
      <c r="AV42" t="n">
        <v>68957.55</v>
      </c>
      <c r="AW42" t="n">
        <v>5705</v>
      </c>
      <c r="AX42">
        <f>AV42*AW42</f>
        <v/>
      </c>
      <c r="AY42">
        <f>IFERROR(BA42/AZ42,0)</f>
        <v/>
      </c>
      <c r="AZ42">
        <f>SUM(P42,S42,V42,Y42,AB42,AE42,AH42,AK42,AN42,AQ42,AT42,AW42)</f>
        <v/>
      </c>
      <c r="BA42">
        <f>SUM(Q42,T42,W42,Z42,AC42,AF42,AI42,AL42,AO42,AR42,AU42,AX42)</f>
        <v/>
      </c>
      <c r="BB42">
        <f>AY42-L42</f>
        <v/>
      </c>
      <c r="BC42">
        <f>IFERROR(BB42/L42,0)</f>
        <v/>
      </c>
      <c r="BF42">
        <f>VLOOKUP("차량OE"&amp;J42,인자!A:D,4,0)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B1" t="inlineStr">
        <is>
          <t>제품군 인자</t>
        </is>
      </c>
    </row>
    <row r="2">
      <c r="A2" t="inlineStr">
        <is>
          <t>VLOOK</t>
        </is>
      </c>
      <c r="B2" t="inlineStr">
        <is>
          <t>팀</t>
        </is>
      </c>
      <c r="C2" t="inlineStr">
        <is>
          <t>제품군</t>
        </is>
      </c>
      <c r="D2" t="inlineStr">
        <is>
          <t>본부 보고용</t>
        </is>
      </c>
    </row>
    <row r="3">
      <c r="A3">
        <f>B3&amp;C3</f>
        <v/>
      </c>
      <c r="B3" t="inlineStr">
        <is>
          <t>고정형</t>
        </is>
      </c>
      <c r="C3" t="inlineStr">
        <is>
          <t>CGS 소형</t>
        </is>
      </c>
      <c r="D3" t="inlineStr">
        <is>
          <t>CGS</t>
        </is>
      </c>
    </row>
    <row r="4">
      <c r="A4">
        <f>B4&amp;C4</f>
        <v/>
      </c>
      <c r="B4" t="inlineStr">
        <is>
          <t>고정형</t>
        </is>
      </c>
      <c r="C4" t="inlineStr">
        <is>
          <t>CGS 중형</t>
        </is>
      </c>
      <c r="D4" t="inlineStr">
        <is>
          <t>CGS</t>
        </is>
      </c>
    </row>
    <row r="5">
      <c r="A5">
        <f>B5&amp;C5</f>
        <v/>
      </c>
      <c r="B5" t="inlineStr">
        <is>
          <t>고정형</t>
        </is>
      </c>
      <c r="C5" t="inlineStr">
        <is>
          <t>ES 대형</t>
        </is>
      </c>
      <c r="D5" t="inlineStr">
        <is>
          <t>ES</t>
        </is>
      </c>
    </row>
    <row r="6">
      <c r="A6">
        <f>B6&amp;C6</f>
        <v/>
      </c>
      <c r="B6" t="inlineStr">
        <is>
          <t>고정형</t>
        </is>
      </c>
      <c r="C6" t="inlineStr">
        <is>
          <t>ES 소형</t>
        </is>
      </c>
      <c r="D6" t="inlineStr">
        <is>
          <t>ES</t>
        </is>
      </c>
    </row>
    <row r="7">
      <c r="A7">
        <f>B7&amp;C7</f>
        <v/>
      </c>
      <c r="B7" t="inlineStr">
        <is>
          <t>고정형</t>
        </is>
      </c>
      <c r="C7" t="inlineStr">
        <is>
          <t>ES 중형</t>
        </is>
      </c>
      <c r="D7" t="inlineStr">
        <is>
          <t>ES</t>
        </is>
      </c>
    </row>
    <row r="8">
      <c r="A8">
        <f>B8&amp;C8</f>
        <v/>
      </c>
      <c r="B8" t="inlineStr">
        <is>
          <t>고정형</t>
        </is>
      </c>
      <c r="C8" t="inlineStr">
        <is>
          <t>GSL 대형</t>
        </is>
      </c>
      <c r="D8" t="inlineStr">
        <is>
          <t>GSL</t>
        </is>
      </c>
    </row>
    <row r="9">
      <c r="A9">
        <f>B9&amp;C9</f>
        <v/>
      </c>
      <c r="B9" t="inlineStr">
        <is>
          <t>고정형</t>
        </is>
      </c>
      <c r="C9" t="inlineStr">
        <is>
          <t>GSL 소형</t>
        </is>
      </c>
      <c r="D9" t="inlineStr">
        <is>
          <t>GSL</t>
        </is>
      </c>
    </row>
    <row r="10">
      <c r="A10">
        <f>B10&amp;C10</f>
        <v/>
      </c>
      <c r="B10" t="inlineStr">
        <is>
          <t>고정형</t>
        </is>
      </c>
      <c r="C10" t="inlineStr">
        <is>
          <t>GSL 중형</t>
        </is>
      </c>
      <c r="D10" t="inlineStr">
        <is>
          <t>GSL</t>
        </is>
      </c>
    </row>
    <row r="11">
      <c r="A11">
        <f>B11&amp;C11</f>
        <v/>
      </c>
      <c r="B11" t="inlineStr">
        <is>
          <t>고정형</t>
        </is>
      </c>
      <c r="C11" t="inlineStr">
        <is>
          <t>LM</t>
        </is>
      </c>
      <c r="D11" t="inlineStr">
        <is>
          <t>LM</t>
        </is>
      </c>
    </row>
    <row r="12">
      <c r="A12">
        <f>B12&amp;C12</f>
        <v/>
      </c>
      <c r="B12" t="inlineStr">
        <is>
          <t>고정형</t>
        </is>
      </c>
      <c r="C12" t="inlineStr">
        <is>
          <t>MSB 대형</t>
        </is>
      </c>
      <c r="D12" t="inlineStr">
        <is>
          <t>MSB</t>
        </is>
      </c>
    </row>
    <row r="13">
      <c r="A13">
        <f>B13&amp;C13</f>
        <v/>
      </c>
      <c r="B13" t="inlineStr">
        <is>
          <t>고정형</t>
        </is>
      </c>
      <c r="C13" t="inlineStr">
        <is>
          <t>MSB 소형</t>
        </is>
      </c>
      <c r="D13" t="inlineStr">
        <is>
          <t>MSB</t>
        </is>
      </c>
    </row>
    <row r="14">
      <c r="A14">
        <f>B14&amp;C14</f>
        <v/>
      </c>
      <c r="B14" t="inlineStr">
        <is>
          <t>고정형</t>
        </is>
      </c>
      <c r="C14" t="inlineStr">
        <is>
          <t>MSB 중형</t>
        </is>
      </c>
      <c r="D14" t="inlineStr">
        <is>
          <t>MSB</t>
        </is>
      </c>
    </row>
    <row r="15">
      <c r="A15">
        <f>B15&amp;C15</f>
        <v/>
      </c>
      <c r="B15" t="inlineStr">
        <is>
          <t>고정형</t>
        </is>
      </c>
      <c r="C15" t="inlineStr">
        <is>
          <t>PS 소형</t>
        </is>
      </c>
      <c r="D15" t="inlineStr">
        <is>
          <t>PS</t>
        </is>
      </c>
    </row>
    <row r="16">
      <c r="A16">
        <f>B16&amp;C16</f>
        <v/>
      </c>
      <c r="B16" t="inlineStr">
        <is>
          <t>고정형</t>
        </is>
      </c>
      <c r="C16" t="inlineStr">
        <is>
          <t>PS 중형</t>
        </is>
      </c>
      <c r="D16" t="inlineStr">
        <is>
          <t>PS</t>
        </is>
      </c>
    </row>
    <row r="17">
      <c r="A17">
        <f>B17&amp;C17</f>
        <v/>
      </c>
      <c r="B17" t="inlineStr">
        <is>
          <t>고정형</t>
        </is>
      </c>
      <c r="C17" t="inlineStr">
        <is>
          <t>PT(SB)</t>
        </is>
      </c>
      <c r="D17" t="inlineStr">
        <is>
          <t>PT(SB)</t>
        </is>
      </c>
    </row>
    <row r="18">
      <c r="A18">
        <f>B18&amp;C18</f>
        <v/>
      </c>
      <c r="B18" t="inlineStr">
        <is>
          <t>고정형</t>
        </is>
      </c>
      <c r="C18" t="inlineStr">
        <is>
          <t>RP 대형</t>
        </is>
      </c>
      <c r="D18" t="inlineStr">
        <is>
          <t>RP</t>
        </is>
      </c>
    </row>
    <row r="19">
      <c r="A19">
        <f>B19&amp;C19</f>
        <v/>
      </c>
      <c r="B19" t="inlineStr">
        <is>
          <t>고정형</t>
        </is>
      </c>
      <c r="C19" t="inlineStr">
        <is>
          <t>RP 소형</t>
        </is>
      </c>
      <c r="D19" t="inlineStr">
        <is>
          <t>RP</t>
        </is>
      </c>
    </row>
    <row r="20">
      <c r="A20">
        <f>B20&amp;C20</f>
        <v/>
      </c>
      <c r="B20" t="inlineStr">
        <is>
          <t>고정형</t>
        </is>
      </c>
      <c r="C20" t="inlineStr">
        <is>
          <t>RP 중형</t>
        </is>
      </c>
      <c r="D20" t="inlineStr">
        <is>
          <t>RP</t>
        </is>
      </c>
    </row>
    <row r="21">
      <c r="A21">
        <f>B21&amp;C21</f>
        <v/>
      </c>
      <c r="B21" t="inlineStr">
        <is>
          <t>고정형</t>
        </is>
      </c>
      <c r="C21" t="inlineStr">
        <is>
          <t>VGS 대형</t>
        </is>
      </c>
      <c r="D21" t="inlineStr">
        <is>
          <t>VGS</t>
        </is>
      </c>
    </row>
    <row r="22">
      <c r="A22">
        <f>B22&amp;C22</f>
        <v/>
      </c>
      <c r="B22" t="inlineStr">
        <is>
          <t>고정형</t>
        </is>
      </c>
      <c r="C22" t="inlineStr">
        <is>
          <t>VGS 소형</t>
        </is>
      </c>
      <c r="D22" t="inlineStr">
        <is>
          <t>VGS</t>
        </is>
      </c>
    </row>
    <row r="23">
      <c r="A23">
        <f>B23&amp;C23</f>
        <v/>
      </c>
      <c r="B23" t="inlineStr">
        <is>
          <t>고정형</t>
        </is>
      </c>
      <c r="C23" t="inlineStr">
        <is>
          <t>VGS 중형</t>
        </is>
      </c>
      <c r="D23" t="inlineStr">
        <is>
          <t>VGS</t>
        </is>
      </c>
    </row>
    <row r="24">
      <c r="A24">
        <f>B24&amp;C24</f>
        <v/>
      </c>
      <c r="B24" t="inlineStr">
        <is>
          <t>고정형</t>
        </is>
      </c>
      <c r="C24" t="inlineStr">
        <is>
          <t>리튬-기타</t>
        </is>
      </c>
      <c r="D24" t="inlineStr">
        <is>
          <t>리튬-기타</t>
        </is>
      </c>
    </row>
    <row r="25">
      <c r="A25">
        <f>B25&amp;C25</f>
        <v/>
      </c>
      <c r="B25" t="inlineStr">
        <is>
          <t>고정형</t>
        </is>
      </c>
      <c r="C25" t="inlineStr">
        <is>
          <t>산업용 기타</t>
        </is>
      </c>
      <c r="D25" t="inlineStr">
        <is>
          <t>산업용</t>
        </is>
      </c>
    </row>
    <row r="26">
      <c r="A26">
        <f>B26&amp;C26</f>
        <v/>
      </c>
      <c r="B26" t="inlineStr">
        <is>
          <t>모티브</t>
        </is>
      </c>
      <c r="C26" t="inlineStr">
        <is>
          <t>V-Type(Cell)</t>
        </is>
      </c>
      <c r="D26" t="inlineStr">
        <is>
          <t>V-Type(Cell)</t>
        </is>
      </c>
    </row>
    <row r="27">
      <c r="A27">
        <f>B27&amp;C27</f>
        <v/>
      </c>
      <c r="B27" t="inlineStr">
        <is>
          <t>모티브</t>
        </is>
      </c>
      <c r="C27" t="inlineStr">
        <is>
          <t>V-Type(Set)/보수</t>
        </is>
      </c>
      <c r="D27" t="inlineStr">
        <is>
          <t>V-Type(Set)/보수</t>
        </is>
      </c>
    </row>
    <row r="28">
      <c r="A28">
        <f>B28&amp;C28</f>
        <v/>
      </c>
      <c r="B28" t="inlineStr">
        <is>
          <t>모티브</t>
        </is>
      </c>
      <c r="C28" t="inlineStr">
        <is>
          <t>차량용 중형 EXP</t>
        </is>
      </c>
      <c r="D28" t="inlineStr">
        <is>
          <t>차량용 중형 EXP</t>
        </is>
      </c>
    </row>
    <row r="29">
      <c r="A29">
        <f>B29&amp;C29</f>
        <v/>
      </c>
      <c r="B29" t="inlineStr">
        <is>
          <t>모티브</t>
        </is>
      </c>
      <c r="C29" t="inlineStr">
        <is>
          <t>Longest(EB)</t>
        </is>
      </c>
      <c r="D29" t="inlineStr">
        <is>
          <t>Longest(EB)</t>
        </is>
      </c>
    </row>
    <row r="30">
      <c r="A30">
        <f>B30&amp;C30</f>
        <v/>
      </c>
      <c r="B30" t="inlineStr">
        <is>
          <t>모티브</t>
        </is>
      </c>
      <c r="C30" t="inlineStr">
        <is>
          <t>Longest(GC6)</t>
        </is>
      </c>
      <c r="D30" t="inlineStr">
        <is>
          <t>Longest(GC6)</t>
        </is>
      </c>
    </row>
    <row r="31">
      <c r="A31">
        <f>B31&amp;C31</f>
        <v/>
      </c>
      <c r="B31" t="inlineStr">
        <is>
          <t>모티브</t>
        </is>
      </c>
      <c r="C31" t="inlineStr">
        <is>
          <t>Longest(GC8)</t>
        </is>
      </c>
      <c r="D31" t="inlineStr">
        <is>
          <t>Longest(GC8)</t>
        </is>
      </c>
    </row>
    <row r="32">
      <c r="A32">
        <f>B32&amp;C32</f>
        <v/>
      </c>
      <c r="B32" t="inlineStr">
        <is>
          <t>모티브</t>
        </is>
      </c>
      <c r="C32" t="inlineStr">
        <is>
          <t>차량용 소형 EXP</t>
        </is>
      </c>
      <c r="D32" t="inlineStr">
        <is>
          <t>차량용 소형 EXP</t>
        </is>
      </c>
    </row>
    <row r="33">
      <c r="A33">
        <f>B33&amp;C33</f>
        <v/>
      </c>
      <c r="B33" t="inlineStr">
        <is>
          <t>모티브</t>
        </is>
      </c>
      <c r="C33" t="inlineStr">
        <is>
          <t>차량용 대형 EXP</t>
        </is>
      </c>
      <c r="D33" t="inlineStr">
        <is>
          <t>차량용 대형 EXP</t>
        </is>
      </c>
    </row>
    <row r="34">
      <c r="A34">
        <f>B34&amp;C34</f>
        <v/>
      </c>
      <c r="B34" t="inlineStr">
        <is>
          <t>모티브</t>
        </is>
      </c>
      <c r="C34" t="inlineStr">
        <is>
          <t>V-Type(Set)/OEM</t>
        </is>
      </c>
      <c r="D34" t="inlineStr">
        <is>
          <t>V-Type(Set)/OEM</t>
        </is>
      </c>
    </row>
    <row r="35">
      <c r="A35">
        <f>B35&amp;C35</f>
        <v/>
      </c>
      <c r="B35" t="inlineStr">
        <is>
          <t>대리점</t>
        </is>
      </c>
      <c r="C35" t="inlineStr">
        <is>
          <t>AGM 3세대</t>
        </is>
      </c>
      <c r="D35" t="inlineStr">
        <is>
          <t>AGM 3세대</t>
        </is>
      </c>
    </row>
    <row r="36">
      <c r="A36">
        <f>B36&amp;C36</f>
        <v/>
      </c>
      <c r="B36" t="inlineStr">
        <is>
          <t>대리점</t>
        </is>
      </c>
      <c r="C36" t="inlineStr">
        <is>
          <t>PT(CA) 대형</t>
        </is>
      </c>
      <c r="D36" t="inlineStr">
        <is>
          <t>PT(CA) 대형</t>
        </is>
      </c>
    </row>
    <row r="37">
      <c r="A37">
        <f>B37&amp;C37</f>
        <v/>
      </c>
      <c r="B37" t="inlineStr">
        <is>
          <t>대리점</t>
        </is>
      </c>
      <c r="C37" t="inlineStr">
        <is>
          <t>MF 농기계</t>
        </is>
      </c>
      <c r="D37" t="inlineStr">
        <is>
          <t>MF 농기계</t>
        </is>
      </c>
    </row>
    <row r="38">
      <c r="A38">
        <f>B38&amp;C38</f>
        <v/>
      </c>
      <c r="B38" t="inlineStr">
        <is>
          <t>대리점</t>
        </is>
      </c>
      <c r="C38" t="inlineStr">
        <is>
          <t>GB 농기계</t>
        </is>
      </c>
      <c r="D38" t="inlineStr">
        <is>
          <t>GB 농기계</t>
        </is>
      </c>
    </row>
    <row r="39">
      <c r="A39">
        <f>B39&amp;C39</f>
        <v/>
      </c>
      <c r="B39" t="inlineStr">
        <is>
          <t>대리점</t>
        </is>
      </c>
      <c r="C39" t="inlineStr">
        <is>
          <t>FB</t>
        </is>
      </c>
      <c r="D39" t="inlineStr">
        <is>
          <t>FB</t>
        </is>
      </c>
    </row>
    <row r="40">
      <c r="A40">
        <f>B40&amp;C40</f>
        <v/>
      </c>
      <c r="B40" t="inlineStr">
        <is>
          <t>대리점</t>
        </is>
      </c>
      <c r="C40" t="inlineStr">
        <is>
          <t>FS</t>
        </is>
      </c>
      <c r="D40" t="inlineStr">
        <is>
          <t>FS</t>
        </is>
      </c>
    </row>
    <row r="41">
      <c r="A41">
        <f>B41&amp;C41</f>
        <v/>
      </c>
      <c r="B41" t="inlineStr">
        <is>
          <t>대리점</t>
        </is>
      </c>
      <c r="C41" t="inlineStr">
        <is>
          <t>GB 택시 EXP</t>
        </is>
      </c>
      <c r="D41" t="inlineStr">
        <is>
          <t>GB 택시 EXP</t>
        </is>
      </c>
    </row>
    <row r="42">
      <c r="A42">
        <f>B42&amp;C42</f>
        <v/>
      </c>
      <c r="B42" t="inlineStr">
        <is>
          <t>대리점</t>
        </is>
      </c>
      <c r="C42" t="inlineStr">
        <is>
          <t>MF 택시 EXP</t>
        </is>
      </c>
      <c r="D42" t="inlineStr">
        <is>
          <t>MF 택시 EXP</t>
        </is>
      </c>
    </row>
    <row r="43">
      <c r="A43">
        <f>B43&amp;C43</f>
        <v/>
      </c>
      <c r="B43" t="inlineStr">
        <is>
          <t>대리점</t>
        </is>
      </c>
      <c r="C43" t="inlineStr">
        <is>
          <t>이륜용 상품</t>
        </is>
      </c>
      <c r="D43" t="inlineStr">
        <is>
          <t>이륜용 상품</t>
        </is>
      </c>
    </row>
    <row r="44">
      <c r="A44">
        <f>B44&amp;C44</f>
        <v/>
      </c>
      <c r="B44" t="inlineStr">
        <is>
          <t>대리점</t>
        </is>
      </c>
      <c r="C44" t="inlineStr">
        <is>
          <t>차량용 소형 EXP</t>
        </is>
      </c>
      <c r="D44" t="inlineStr">
        <is>
          <t>차량용 소형 EXP</t>
        </is>
      </c>
    </row>
    <row r="45">
      <c r="A45">
        <f>B45&amp;C45</f>
        <v/>
      </c>
      <c r="B45" t="inlineStr">
        <is>
          <t>대리점</t>
        </is>
      </c>
      <c r="C45" t="inlineStr">
        <is>
          <t>차량용 중형 EXP</t>
        </is>
      </c>
      <c r="D45" t="inlineStr">
        <is>
          <t>차량용 중형 EXP</t>
        </is>
      </c>
    </row>
    <row r="46">
      <c r="A46">
        <f>B46&amp;C46</f>
        <v/>
      </c>
      <c r="B46" t="inlineStr">
        <is>
          <t>대리점</t>
        </is>
      </c>
      <c r="C46" t="inlineStr">
        <is>
          <t>차량용 중형 PH</t>
        </is>
      </c>
      <c r="D46" t="inlineStr">
        <is>
          <t>차량용 중형 PH</t>
        </is>
      </c>
    </row>
    <row r="47">
      <c r="A47">
        <f>B47&amp;C47</f>
        <v/>
      </c>
      <c r="B47" t="inlineStr">
        <is>
          <t>대리점</t>
        </is>
      </c>
      <c r="C47" t="inlineStr">
        <is>
          <t>MF 대형 EXP</t>
        </is>
      </c>
      <c r="D47" t="inlineStr">
        <is>
          <t>MF 대형 EXP</t>
        </is>
      </c>
    </row>
    <row r="48">
      <c r="A48">
        <f>B48&amp;C48</f>
        <v/>
      </c>
      <c r="B48" t="inlineStr">
        <is>
          <t>대리점</t>
        </is>
      </c>
      <c r="C48" t="inlineStr">
        <is>
          <t>차량용 대형 EXP</t>
        </is>
      </c>
      <c r="D48" t="inlineStr">
        <is>
          <t>차량용 대형 EXP</t>
        </is>
      </c>
    </row>
    <row r="49">
      <c r="A49">
        <f>B49&amp;C49</f>
        <v/>
      </c>
      <c r="B49" t="inlineStr">
        <is>
          <t>대리점</t>
        </is>
      </c>
      <c r="C49" t="inlineStr">
        <is>
          <t>차량용 대형 PH</t>
        </is>
      </c>
      <c r="D49" t="inlineStr">
        <is>
          <t>차량용 대형 PH</t>
        </is>
      </c>
    </row>
    <row r="50">
      <c r="A50">
        <f>B50&amp;C50</f>
        <v/>
      </c>
      <c r="B50" t="inlineStr">
        <is>
          <t>차량OE</t>
        </is>
      </c>
      <c r="C50" t="inlineStr">
        <is>
          <t>차량용 대형 EXP</t>
        </is>
      </c>
      <c r="D50" t="inlineStr">
        <is>
          <t>차량용 대형 EXP</t>
        </is>
      </c>
    </row>
    <row r="51">
      <c r="A51">
        <f>B51&amp;C51</f>
        <v/>
      </c>
      <c r="B51" t="inlineStr">
        <is>
          <t>차량OE</t>
        </is>
      </c>
      <c r="C51" t="inlineStr">
        <is>
          <t>차량용 중형 EXP</t>
        </is>
      </c>
      <c r="D51" t="inlineStr">
        <is>
          <t>차량용 중형 EXP</t>
        </is>
      </c>
    </row>
    <row r="52">
      <c r="A52">
        <f>B52&amp;C52</f>
        <v/>
      </c>
      <c r="B52" t="inlineStr">
        <is>
          <t>차량OE</t>
        </is>
      </c>
      <c r="C52" t="inlineStr">
        <is>
          <t>PREMIUM/ITON</t>
        </is>
      </c>
      <c r="D52" t="inlineStr">
        <is>
          <t>PREMIUM/ITON</t>
        </is>
      </c>
    </row>
    <row r="53">
      <c r="A53">
        <f>B53&amp;C53</f>
        <v/>
      </c>
      <c r="B53" t="inlineStr">
        <is>
          <t>차량OE</t>
        </is>
      </c>
      <c r="C53" t="inlineStr">
        <is>
          <t>AGM 3세대</t>
        </is>
      </c>
      <c r="D53" t="inlineStr">
        <is>
          <t>AGM 3세대</t>
        </is>
      </c>
    </row>
    <row r="54">
      <c r="A54">
        <f>B54&amp;C54</f>
        <v/>
      </c>
      <c r="B54" t="inlineStr">
        <is>
          <t>차량OE</t>
        </is>
      </c>
      <c r="C54" t="inlineStr">
        <is>
          <t>MF 중형 EXP</t>
        </is>
      </c>
      <c r="D54" t="inlineStr">
        <is>
          <t>MF 중형 EXP</t>
        </is>
      </c>
    </row>
    <row r="55">
      <c r="A55">
        <f>B55&amp;C55</f>
        <v/>
      </c>
      <c r="B55" t="inlineStr">
        <is>
          <t>차량OE</t>
        </is>
      </c>
      <c r="C55" t="inlineStr">
        <is>
          <t>차량용 소형 EXP</t>
        </is>
      </c>
      <c r="D55" t="inlineStr">
        <is>
          <t>차량용 소형 EXP</t>
        </is>
      </c>
    </row>
    <row r="56">
      <c r="A56">
        <f>B56&amp;C56</f>
        <v/>
      </c>
      <c r="B56" t="inlineStr">
        <is>
          <t>차량OE</t>
        </is>
      </c>
      <c r="C56" t="inlineStr">
        <is>
          <t>PT(CA) 대형</t>
        </is>
      </c>
      <c r="D56" t="inlineStr">
        <is>
          <t>PT(CA) 대형</t>
        </is>
      </c>
    </row>
    <row r="57">
      <c r="A57">
        <f>B57&amp;C57</f>
        <v/>
      </c>
      <c r="B57" t="inlineStr">
        <is>
          <t>차량OE</t>
        </is>
      </c>
      <c r="C57" t="inlineStr">
        <is>
          <t>이륜용 상품</t>
        </is>
      </c>
      <c r="D57" t="inlineStr">
        <is>
          <t>이륜용 상품</t>
        </is>
      </c>
    </row>
    <row r="58">
      <c r="A58">
        <f>B58&amp;C58</f>
        <v/>
      </c>
      <c r="B58" t="inlineStr">
        <is>
          <t>차량OE</t>
        </is>
      </c>
      <c r="C58" t="inlineStr">
        <is>
          <t>PT(CA) 중형</t>
        </is>
      </c>
      <c r="D58" t="inlineStr">
        <is>
          <t>PT(CA) 중형</t>
        </is>
      </c>
    </row>
    <row r="59">
      <c r="A59">
        <f>B59&amp;C59</f>
        <v/>
      </c>
      <c r="B59" t="inlineStr">
        <is>
          <t>차량OE</t>
        </is>
      </c>
      <c r="C59" t="inlineStr">
        <is>
          <t>MF 농기계</t>
        </is>
      </c>
      <c r="D59" t="inlineStr">
        <is>
          <t>MF 농기계</t>
        </is>
      </c>
    </row>
    <row r="60">
      <c r="A60">
        <f>B60&amp;C60</f>
        <v/>
      </c>
      <c r="B60" t="inlineStr">
        <is>
          <t>차량OE</t>
        </is>
      </c>
      <c r="C60" t="inlineStr">
        <is>
          <t>MF 소형 EXP</t>
        </is>
      </c>
      <c r="D60" t="inlineStr">
        <is>
          <t>MF 소형 EXP</t>
        </is>
      </c>
    </row>
    <row r="61">
      <c r="A61">
        <f>B61&amp;C61</f>
        <v/>
      </c>
      <c r="B61" t="inlineStr">
        <is>
          <t>차량OE</t>
        </is>
      </c>
      <c r="C61" t="inlineStr">
        <is>
          <t>MF 대형 EXP</t>
        </is>
      </c>
      <c r="D61" t="inlineStr">
        <is>
          <t>MF 대형 EXP</t>
        </is>
      </c>
    </row>
    <row r="62">
      <c r="A62">
        <f>B62&amp;C62</f>
        <v/>
      </c>
      <c r="B62" t="inlineStr">
        <is>
          <t>차량OE</t>
        </is>
      </c>
      <c r="C62" t="inlineStr">
        <is>
          <t>차량용 대형 PH</t>
        </is>
      </c>
      <c r="D62" t="inlineStr">
        <is>
          <t>차량용 대형 PH</t>
        </is>
      </c>
    </row>
    <row r="63">
      <c r="A63">
        <f>B63&amp;C63</f>
        <v/>
      </c>
      <c r="B63" t="inlineStr">
        <is>
          <t>차량OE</t>
        </is>
      </c>
      <c r="C63" t="inlineStr">
        <is>
          <t>PT(SB)</t>
        </is>
      </c>
      <c r="D63" t="inlineStr">
        <is>
          <t>PT(SB)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2026-09-15T06:33:34Z</dcterms:created>
  <dcterms:modified xsi:type="dcterms:W3CDTF">2026-09-15T06:33:34Z</dcterms:modified>
</cp:coreProperties>
</file>