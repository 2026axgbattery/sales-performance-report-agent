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744" tabRatio="600" firstSheet="0" activeTab="0" autoFilterDateGrouping="1"/>
  </bookViews>
  <sheets>
    <sheet xmlns:r="http://schemas.openxmlformats.org/officeDocument/2006/relationships" name="실적 Raw Data" sheetId="1" state="visible" r:id="rId1"/>
    <sheet xmlns:r="http://schemas.openxmlformats.org/officeDocument/2006/relationships" name="실적 Re-arrange용 수식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_-* #,##0_-;\-* #,##0_-;_-* &quot;-&quot;_-;_-@_-"/>
  </numFmts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돋움"/>
      <charset val="129"/>
      <family val="3"/>
      <sz val="8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theme="0"/>
      <sz val="10"/>
      <scheme val="minor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8"/>
      <sz val="10"/>
      <scheme val="minor"/>
    </font>
  </fonts>
  <fills count="14">
    <fill>
      <patternFill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 applyAlignment="1">
      <alignment vertical="center"/>
    </xf>
    <xf numFmtId="41" fontId="1" fillId="0" borderId="0" applyAlignment="1">
      <alignment vertical="center"/>
    </xf>
    <xf numFmtId="0" fontId="8" fillId="0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49" fontId="0" fillId="3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3" fillId="4" borderId="1" applyAlignment="1" pivotButton="0" quotePrefix="0" xfId="1">
      <alignment horizontal="center" vertical="center"/>
    </xf>
    <xf numFmtId="165" fontId="3" fillId="4" borderId="2" applyAlignment="1" pivotButton="0" quotePrefix="0" xfId="1">
      <alignment horizontal="center" vertical="center"/>
    </xf>
    <xf numFmtId="0" fontId="3" fillId="4" borderId="0" applyAlignment="1" pivotButton="0" quotePrefix="0" xfId="0">
      <alignment horizontal="center" vertical="center"/>
    </xf>
    <xf numFmtId="165" fontId="4" fillId="5" borderId="3" applyAlignment="1" pivotButton="0" quotePrefix="0" xfId="1">
      <alignment horizontal="center" vertical="center"/>
    </xf>
    <xf numFmtId="0" fontId="3" fillId="4" borderId="2" applyAlignment="1" pivotButton="0" quotePrefix="0" xfId="0">
      <alignment horizontal="center" vertical="center"/>
    </xf>
    <xf numFmtId="165" fontId="4" fillId="5" borderId="3" applyAlignment="1" pivotButton="0" quotePrefix="0" xfId="1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4" fillId="12" borderId="3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9" fillId="13" borderId="0" applyAlignment="1" pivotButton="0" quotePrefix="0" xfId="2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5" fontId="3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horizontal="center" vertical="center"/>
    </xf>
    <xf numFmtId="165" fontId="6" fillId="0" borderId="0" applyAlignment="1" pivotButton="0" quotePrefix="1" xfId="1">
      <alignment horizontal="center" vertical="center"/>
    </xf>
    <xf numFmtId="165" fontId="6" fillId="0" borderId="0" applyAlignment="1" pivotButton="0" quotePrefix="0" xfId="1">
      <alignment horizontal="center" vertical="center"/>
    </xf>
    <xf numFmtId="3" fontId="3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3" fillId="4" borderId="1" applyAlignment="1" pivotButton="0" quotePrefix="0" xfId="1">
      <alignment horizontal="center" vertical="center"/>
    </xf>
    <xf numFmtId="165" fontId="3" fillId="4" borderId="2" applyAlignment="1" pivotButton="0" quotePrefix="0" xfId="1">
      <alignment horizontal="center" vertical="center"/>
    </xf>
    <xf numFmtId="165" fontId="4" fillId="5" borderId="3" applyAlignment="1" pivotButton="0" quotePrefix="0" xfId="1">
      <alignment horizontal="center" vertical="center"/>
    </xf>
    <xf numFmtId="165" fontId="4" fillId="5" borderId="3" applyAlignment="1" pivotButton="0" quotePrefix="0" xfId="1">
      <alignment horizontal="left" vertical="center"/>
    </xf>
    <xf numFmtId="165" fontId="3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horizontal="center" vertical="center"/>
    </xf>
    <xf numFmtId="165" fontId="6" fillId="0" borderId="0" applyAlignment="1" pivotButton="0" quotePrefix="1" xfId="1">
      <alignment horizontal="center" vertical="center"/>
    </xf>
  </cellXfs>
  <cellStyles count="3">
    <cellStyle name="표준" xfId="0" builtinId="0"/>
    <cellStyle name="쉼표 [0]" xfId="1" builtinId="6"/>
    <cellStyle name="표준_2009.5월 제품별 영업실적(개별원가)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52"/>
  <sheetViews>
    <sheetView tabSelected="1" workbookViewId="0">
      <selection activeCell="H10" sqref="H10"/>
    </sheetView>
  </sheetViews>
  <sheetFormatPr baseColWidth="8" defaultRowHeight="17.4"/>
  <cols>
    <col width="47.69921875" bestFit="1" customWidth="1" style="28" min="2" max="2"/>
    <col width="18.09765625" bestFit="1" customWidth="1" style="28" min="3" max="3"/>
    <col width="48.5" bestFit="1" customWidth="1" style="28" min="4" max="4"/>
    <col width="12.8984375" bestFit="1" customWidth="1" style="28" min="66" max="66"/>
  </cols>
  <sheetData>
    <row r="1">
      <c r="A1" s="1" t="n"/>
      <c r="B1" s="1" t="n"/>
      <c r="C1" s="1" t="n"/>
      <c r="D1" s="1" t="n"/>
      <c r="E1" s="1" t="n"/>
      <c r="F1" s="2" t="inlineStr">
        <is>
          <t>매출액(Total)</t>
        </is>
      </c>
      <c r="G1" s="2" t="inlineStr">
        <is>
          <t>매출원가(A)Tot</t>
        </is>
      </c>
      <c r="H1" s="2" t="inlineStr">
        <is>
          <t>매출액</t>
        </is>
      </c>
      <c r="I1" s="2" t="inlineStr">
        <is>
          <t>기타매출액</t>
        </is>
      </c>
      <c r="J1" s="2" t="inlineStr">
        <is>
          <t>제품매출조정</t>
        </is>
      </c>
      <c r="K1" s="2" t="inlineStr">
        <is>
          <t>매출원가(S)Tot</t>
        </is>
      </c>
      <c r="L1" s="2" t="inlineStr">
        <is>
          <t>매출원가(S)</t>
        </is>
      </c>
      <c r="M1" s="2" t="inlineStr">
        <is>
          <t>매출수량</t>
        </is>
      </c>
      <c r="N1" s="2" t="inlineStr">
        <is>
          <t>용량(단위당)</t>
        </is>
      </c>
      <c r="O1" s="2" t="inlineStr">
        <is>
          <t>총용량</t>
        </is>
      </c>
      <c r="P1" s="2" t="inlineStr">
        <is>
          <t>연량(단위당)</t>
        </is>
      </c>
      <c r="Q1" s="2" t="inlineStr">
        <is>
          <t>총연량</t>
        </is>
      </c>
      <c r="R1" s="2" t="inlineStr">
        <is>
          <t>매출액A(조정전)</t>
        </is>
      </c>
      <c r="S1" s="2" t="inlineStr">
        <is>
          <t>매출원가A(조정전)</t>
        </is>
      </c>
      <c r="T1" s="2" t="inlineStr">
        <is>
          <t>판관비A(조정전)</t>
        </is>
      </c>
      <c r="U1" s="2" t="inlineStr">
        <is>
          <t>영업이익A(조정전)</t>
        </is>
      </c>
      <c r="V1" s="2" t="inlineStr">
        <is>
          <t>재고실사차이</t>
        </is>
      </c>
      <c r="W1" s="2" t="inlineStr">
        <is>
          <t>환불부채</t>
        </is>
      </c>
      <c r="X1" s="2" t="inlineStr">
        <is>
          <t>평가손실</t>
        </is>
      </c>
      <c r="Y1" s="2" t="inlineStr">
        <is>
          <t>관세환급</t>
        </is>
      </c>
      <c r="Z1" s="2" t="inlineStr">
        <is>
          <t>매출원가조정기타</t>
        </is>
      </c>
      <c r="AA1" s="2" t="inlineStr">
        <is>
          <t>매출총이익(S)</t>
        </is>
      </c>
      <c r="AB1" s="2" t="inlineStr">
        <is>
          <t>원재료비_순연(S)</t>
        </is>
      </c>
      <c r="AC1" s="2" t="inlineStr">
        <is>
          <t>원재료비_경연(S)</t>
        </is>
      </c>
      <c r="AD1" s="2" t="inlineStr">
        <is>
          <t>원재료비_칼슘연(S</t>
        </is>
      </c>
      <c r="AE1" s="2" t="inlineStr">
        <is>
          <t>원재료비_니켈(S)</t>
        </is>
      </c>
      <c r="AF1" s="2" t="inlineStr">
        <is>
          <t>원재료비_리튬(S)</t>
        </is>
      </c>
      <c r="AG1" s="2" t="inlineStr">
        <is>
          <t>주재료비_전조(S)</t>
        </is>
      </c>
      <c r="AH1" s="2" t="inlineStr">
        <is>
          <t>주재료비_카바(S)</t>
        </is>
      </c>
      <c r="AI1" s="2" t="inlineStr">
        <is>
          <t>주재료비_격리판(S</t>
        </is>
      </c>
      <c r="AJ1" s="2" t="inlineStr">
        <is>
          <t>부재료비(S)</t>
        </is>
      </c>
      <c r="AK1" s="2" t="inlineStr">
        <is>
          <t>포장비(S)</t>
        </is>
      </c>
      <c r="AL1" s="2" t="inlineStr">
        <is>
          <t>부대품재료비(S)</t>
        </is>
      </c>
      <c r="AM1" s="2" t="inlineStr">
        <is>
          <t>부산물공제(S)</t>
        </is>
      </c>
      <c r="AN1" s="2" t="inlineStr">
        <is>
          <t>변동직접노무비(S)</t>
        </is>
      </c>
      <c r="AO1" s="2" t="inlineStr">
        <is>
          <t>변동경비(S)</t>
        </is>
      </c>
      <c r="AP1" s="2" t="inlineStr">
        <is>
          <t>고정직접노무비(S)</t>
        </is>
      </c>
      <c r="AQ1" s="2" t="inlineStr">
        <is>
          <t>간접노무비(S)</t>
        </is>
      </c>
      <c r="AR1" s="2" t="inlineStr">
        <is>
          <t>고정경비(S)</t>
        </is>
      </c>
      <c r="AS1" s="2" t="inlineStr">
        <is>
          <t>외주가공비(S)</t>
        </is>
      </c>
      <c r="AT1" s="2" t="inlineStr">
        <is>
          <t>매출원가(A)</t>
        </is>
      </c>
      <c r="AU1" s="2" t="inlineStr">
        <is>
          <t>매출총이익(A)</t>
        </is>
      </c>
      <c r="AV1" s="2" t="inlineStr">
        <is>
          <t>원재료비_순연(A)</t>
        </is>
      </c>
      <c r="AW1" s="2" t="inlineStr">
        <is>
          <t>원재료비_경연(A)</t>
        </is>
      </c>
      <c r="AX1" s="2" t="inlineStr">
        <is>
          <t>원재료비_칼슘연(A</t>
        </is>
      </c>
      <c r="AY1" s="2" t="inlineStr">
        <is>
          <t>원재료비_니켈(A)</t>
        </is>
      </c>
      <c r="AZ1" s="2" t="inlineStr">
        <is>
          <t>원재료비_리튬(A)</t>
        </is>
      </c>
      <c r="BA1" s="2" t="inlineStr">
        <is>
          <t>주재료비_전조(A)</t>
        </is>
      </c>
      <c r="BB1" s="2" t="inlineStr">
        <is>
          <t>주재료비_카바(A)</t>
        </is>
      </c>
      <c r="BC1" s="2" t="inlineStr">
        <is>
          <t>주재료비_격리판(A</t>
        </is>
      </c>
      <c r="BD1" s="2" t="inlineStr">
        <is>
          <t>부재료비(A)</t>
        </is>
      </c>
      <c r="BE1" s="2" t="inlineStr">
        <is>
          <t>포장비(A)</t>
        </is>
      </c>
      <c r="BF1" s="2" t="inlineStr">
        <is>
          <t>부대품재료비(A)</t>
        </is>
      </c>
      <c r="BG1" s="2" t="inlineStr">
        <is>
          <t>부산물공제(A)</t>
        </is>
      </c>
      <c r="BH1" s="2" t="inlineStr">
        <is>
          <t>변동직접노무비(A)</t>
        </is>
      </c>
      <c r="BI1" s="2" t="inlineStr">
        <is>
          <t>변동경비(A)</t>
        </is>
      </c>
      <c r="BJ1" s="2" t="inlineStr">
        <is>
          <t>고정직접노무비(A)</t>
        </is>
      </c>
      <c r="BK1" s="2" t="inlineStr">
        <is>
          <t>간접노무비(A)</t>
        </is>
      </c>
      <c r="BL1" s="2" t="inlineStr">
        <is>
          <t>고정경비(A)</t>
        </is>
      </c>
      <c r="BM1" s="2" t="inlineStr">
        <is>
          <t>외주가공비(A)</t>
        </is>
      </c>
      <c r="BN1" s="2" t="inlineStr">
        <is>
          <t>총매출액</t>
        </is>
      </c>
      <c r="BO1" s="2" t="inlineStr">
        <is>
          <t>매출할인</t>
        </is>
      </c>
      <c r="BP1" s="2" t="inlineStr">
        <is>
          <t>판관비(Total)</t>
        </is>
      </c>
      <c r="BQ1" s="2" t="inlineStr">
        <is>
          <t>영업이익(A)</t>
        </is>
      </c>
      <c r="BR1" s="2" t="inlineStr">
        <is>
          <t>영업외수익</t>
        </is>
      </c>
      <c r="BS1" s="2" t="inlineStr">
        <is>
          <t>영업외비용</t>
        </is>
      </c>
      <c r="BT1" s="2" t="inlineStr">
        <is>
          <t>경상이익(A)</t>
        </is>
      </c>
      <c r="BU1" s="2" t="inlineStr">
        <is>
          <t>기타수익(Total</t>
        </is>
      </c>
      <c r="BV1" s="2" t="inlineStr">
        <is>
          <t>기타비용(Total</t>
        </is>
      </c>
      <c r="BW1" s="2" t="inlineStr">
        <is>
          <t>금융수익(Total</t>
        </is>
      </c>
      <c r="BX1" s="2" t="inlineStr">
        <is>
          <t>금융비용(Total</t>
        </is>
      </c>
      <c r="BY1" s="2" t="inlineStr">
        <is>
          <t>임원급여</t>
        </is>
      </c>
      <c r="BZ1" s="2" t="inlineStr">
        <is>
          <t>직원급여</t>
        </is>
      </c>
      <c r="CA1" s="2" t="inlineStr">
        <is>
          <t>임원상여</t>
        </is>
      </c>
      <c r="CB1" s="2" t="inlineStr">
        <is>
          <t>직원상여</t>
        </is>
      </c>
      <c r="CC1" s="2" t="inlineStr">
        <is>
          <t>임금</t>
        </is>
      </c>
      <c r="CD1" s="2" t="inlineStr">
        <is>
          <t>제수당</t>
        </is>
      </c>
      <c r="CE1" s="2" t="inlineStr">
        <is>
          <t>잡급</t>
        </is>
      </c>
      <c r="CF1" s="2" t="inlineStr">
        <is>
          <t>퇴직급여</t>
        </is>
      </c>
      <c r="CG1" s="2" t="inlineStr">
        <is>
          <t>대손상각비</t>
        </is>
      </c>
      <c r="CH1" s="2" t="inlineStr">
        <is>
          <t>복리후생비</t>
        </is>
      </c>
      <c r="CI1" s="2" t="inlineStr">
        <is>
          <t>여비교통비</t>
        </is>
      </c>
      <c r="CJ1" s="2" t="inlineStr">
        <is>
          <t>통신비</t>
        </is>
      </c>
      <c r="CK1" s="2" t="inlineStr">
        <is>
          <t>소모품비</t>
        </is>
      </c>
      <c r="CL1" s="2" t="inlineStr">
        <is>
          <t>도서인쇄비</t>
        </is>
      </c>
      <c r="CM1" s="2" t="inlineStr">
        <is>
          <t>세금과공과</t>
        </is>
      </c>
      <c r="CN1" s="2" t="inlineStr">
        <is>
          <t>임차료</t>
        </is>
      </c>
      <c r="CO1" s="2" t="inlineStr">
        <is>
          <t>수도광열비</t>
        </is>
      </c>
      <c r="CP1" s="2" t="inlineStr">
        <is>
          <t>광고선전비</t>
        </is>
      </c>
      <c r="CQ1" s="2" t="inlineStr">
        <is>
          <t>접대비(S)</t>
        </is>
      </c>
      <c r="CR1" s="2" t="inlineStr">
        <is>
          <t>접대비(A)</t>
        </is>
      </c>
      <c r="CS1" s="2" t="inlineStr">
        <is>
          <t>차량유지비</t>
        </is>
      </c>
      <c r="CT1" s="2" t="inlineStr">
        <is>
          <t>운반비</t>
        </is>
      </c>
      <c r="CU1" s="2" t="inlineStr">
        <is>
          <t>지급수수료</t>
        </is>
      </c>
      <c r="CV1" s="2" t="inlineStr">
        <is>
          <t>수출비용(S)</t>
        </is>
      </c>
      <c r="CW1" s="2" t="inlineStr">
        <is>
          <t>수출비용(A)</t>
        </is>
      </c>
      <c r="CX1" s="2" t="inlineStr">
        <is>
          <t>교육훈련비</t>
        </is>
      </c>
      <c r="CY1" s="2" t="inlineStr">
        <is>
          <t>감가상각비</t>
        </is>
      </c>
      <c r="CZ1" s="2" t="inlineStr">
        <is>
          <t>무형자산상각비</t>
        </is>
      </c>
      <c r="DA1" s="2" t="inlineStr">
        <is>
          <t>수선유지비</t>
        </is>
      </c>
      <c r="DB1" s="2" t="inlineStr">
        <is>
          <t>보험료</t>
        </is>
      </c>
      <c r="DC1" s="2" t="inlineStr">
        <is>
          <t>회의비</t>
        </is>
      </c>
      <c r="DD1" s="2" t="inlineStr">
        <is>
          <t>시험설치비(S)</t>
        </is>
      </c>
      <c r="DE1" s="2" t="inlineStr">
        <is>
          <t>시험설치비(A)</t>
        </is>
      </c>
      <c r="DF1" s="2" t="inlineStr">
        <is>
          <t>경상연구개발비</t>
        </is>
      </c>
      <c r="DG1" s="2" t="inlineStr">
        <is>
          <t>연구개발비(국책과제</t>
        </is>
      </c>
      <c r="DH1" s="2" t="inlineStr">
        <is>
          <t>판매보증비</t>
        </is>
      </c>
      <c r="DI1" s="2" t="inlineStr">
        <is>
          <t>대손충당금환입</t>
        </is>
      </c>
      <c r="DJ1" s="2" t="inlineStr">
        <is>
          <t>불량제품손실</t>
        </is>
      </c>
      <c r="DK1" s="2" t="inlineStr">
        <is>
          <t>판관비_기타</t>
        </is>
      </c>
      <c r="DL1" s="2" t="inlineStr">
        <is>
          <t>수출비용_해상운임(</t>
        </is>
      </c>
      <c r="DM1" s="2" t="inlineStr">
        <is>
          <t>외환차익</t>
        </is>
      </c>
      <c r="DN1" s="2" t="inlineStr">
        <is>
          <t>외화환산이익</t>
        </is>
      </c>
      <c r="DO1" s="2" t="inlineStr">
        <is>
          <t>임대료수익</t>
        </is>
      </c>
      <c r="DP1" s="2" t="inlineStr">
        <is>
          <t>투자자산처분이익등</t>
        </is>
      </c>
      <c r="DQ1" s="2" t="inlineStr">
        <is>
          <t>유무형자산처분이익등</t>
        </is>
      </c>
      <c r="DR1" s="2" t="inlineStr">
        <is>
          <t>기타영업외수익</t>
        </is>
      </c>
      <c r="DS1" s="2" t="inlineStr">
        <is>
          <t>외환차손</t>
        </is>
      </c>
      <c r="DT1" s="2" t="inlineStr">
        <is>
          <t>외화환산손실</t>
        </is>
      </c>
      <c r="DU1" s="2" t="inlineStr">
        <is>
          <t>투자자산처분및손상차</t>
        </is>
      </c>
      <c r="DV1" s="2" t="inlineStr">
        <is>
          <t>유무형자산처분및손상</t>
        </is>
      </c>
      <c r="DW1" s="2" t="inlineStr">
        <is>
          <t>기부금</t>
        </is>
      </c>
      <c r="DX1" s="2" t="inlineStr">
        <is>
          <t>기타영업외비용</t>
        </is>
      </c>
      <c r="DY1" s="2" t="inlineStr">
        <is>
          <t>이자수익</t>
        </is>
      </c>
      <c r="DZ1" s="2" t="inlineStr">
        <is>
          <t>배당금수익</t>
        </is>
      </c>
      <c r="EA1" s="2" t="inlineStr">
        <is>
          <t>금융자산처분이익</t>
        </is>
      </c>
      <c r="EB1" s="2" t="inlineStr">
        <is>
          <t>금융자산평가이익</t>
        </is>
      </c>
      <c r="EC1" s="2" t="inlineStr">
        <is>
          <t>금융자산손상차손환입</t>
        </is>
      </c>
      <c r="ED1" s="2" t="inlineStr">
        <is>
          <t>파생상품평가이익</t>
        </is>
      </c>
      <c r="EE1" s="2" t="inlineStr">
        <is>
          <t>파생상품거래이익</t>
        </is>
      </c>
      <c r="EF1" s="2" t="inlineStr">
        <is>
          <t>이자비용</t>
        </is>
      </c>
      <c r="EG1" s="2" t="inlineStr">
        <is>
          <t>금융자산처분손실</t>
        </is>
      </c>
      <c r="EH1" s="2" t="inlineStr">
        <is>
          <t>금융자산평가손실</t>
        </is>
      </c>
      <c r="EI1" s="2" t="inlineStr">
        <is>
          <t>금융자산손상차손</t>
        </is>
      </c>
      <c r="EJ1" s="2" t="inlineStr">
        <is>
          <t>파생상품평가손실</t>
        </is>
      </c>
      <c r="EK1" s="2" t="inlineStr">
        <is>
          <t>파생상품거래손실</t>
        </is>
      </c>
    </row>
    <row r="2">
      <c r="A2" s="1" t="inlineStr">
        <is>
          <t>손익 센터</t>
        </is>
      </c>
      <c r="B2" s="1" t="inlineStr">
        <is>
          <t>상품</t>
        </is>
      </c>
      <c r="C2" s="1" t="inlineStr">
        <is>
          <t>기간/연도</t>
        </is>
      </c>
      <c r="D2" s="1" t="inlineStr">
        <is>
          <t>납품처</t>
        </is>
      </c>
      <c r="E2" s="1" t="inlineStr">
        <is>
          <t>고객</t>
        </is>
      </c>
      <c r="F2" s="2" t="inlineStr">
        <is>
          <t>1 KRW</t>
        </is>
      </c>
      <c r="G2" s="2" t="inlineStr">
        <is>
          <t>1 KRW</t>
        </is>
      </c>
      <c r="H2" s="2" t="inlineStr">
        <is>
          <t>1 KRW</t>
        </is>
      </c>
      <c r="I2" s="2" t="inlineStr">
        <is>
          <t>1 KRW</t>
        </is>
      </c>
      <c r="J2" s="2" t="inlineStr">
        <is>
          <t>1 KRW</t>
        </is>
      </c>
      <c r="K2" s="2" t="inlineStr">
        <is>
          <t>1 KRW</t>
        </is>
      </c>
      <c r="L2" s="2" t="inlineStr">
        <is>
          <t>1 KRW</t>
        </is>
      </c>
      <c r="M2" s="2" t="inlineStr">
        <is>
          <t>1 *</t>
        </is>
      </c>
      <c r="N2" s="2" t="n">
        <v>1</v>
      </c>
      <c r="O2" s="2" t="inlineStr">
        <is>
          <t>1 AH</t>
        </is>
      </c>
      <c r="P2" s="2" t="n">
        <v>1</v>
      </c>
      <c r="Q2" s="2" t="inlineStr">
        <is>
          <t>1 G</t>
        </is>
      </c>
      <c r="R2" s="2" t="inlineStr">
        <is>
          <t>1 KRW</t>
        </is>
      </c>
      <c r="S2" s="2" t="inlineStr">
        <is>
          <t>1 KRW</t>
        </is>
      </c>
      <c r="T2" s="2" t="inlineStr">
        <is>
          <t>1 KRW</t>
        </is>
      </c>
      <c r="U2" s="2" t="inlineStr">
        <is>
          <t>1 KRW</t>
        </is>
      </c>
      <c r="V2" s="2" t="inlineStr">
        <is>
          <t>1 KRW</t>
        </is>
      </c>
      <c r="W2" s="2" t="inlineStr">
        <is>
          <t>1 KRW</t>
        </is>
      </c>
      <c r="X2" s="2" t="inlineStr">
        <is>
          <t>1 KRW</t>
        </is>
      </c>
      <c r="Y2" s="2" t="inlineStr">
        <is>
          <t>1 KRW</t>
        </is>
      </c>
      <c r="Z2" s="2" t="inlineStr">
        <is>
          <t>1 KRW</t>
        </is>
      </c>
      <c r="AA2" s="2" t="inlineStr">
        <is>
          <t>1 KRW</t>
        </is>
      </c>
      <c r="AB2" s="2" t="inlineStr">
        <is>
          <t>1 KRW</t>
        </is>
      </c>
      <c r="AC2" s="2" t="inlineStr">
        <is>
          <t>1 KRW</t>
        </is>
      </c>
      <c r="AD2" s="2" t="inlineStr">
        <is>
          <t>1 KRW</t>
        </is>
      </c>
      <c r="AE2" s="2" t="inlineStr">
        <is>
          <t>1 KRW</t>
        </is>
      </c>
      <c r="AF2" s="2" t="inlineStr">
        <is>
          <t>1 KRW</t>
        </is>
      </c>
      <c r="AG2" s="2" t="inlineStr">
        <is>
          <t>1 KRW</t>
        </is>
      </c>
      <c r="AH2" s="2" t="inlineStr">
        <is>
          <t>1 KRW</t>
        </is>
      </c>
      <c r="AI2" s="2" t="inlineStr">
        <is>
          <t>1 KRW</t>
        </is>
      </c>
      <c r="AJ2" s="2" t="inlineStr">
        <is>
          <t>1 KRW</t>
        </is>
      </c>
      <c r="AK2" s="2" t="inlineStr">
        <is>
          <t>1 KRW</t>
        </is>
      </c>
      <c r="AL2" s="2" t="inlineStr">
        <is>
          <t>1 KRW</t>
        </is>
      </c>
      <c r="AM2" s="2" t="inlineStr">
        <is>
          <t>1 KRW</t>
        </is>
      </c>
      <c r="AN2" s="2" t="inlineStr">
        <is>
          <t>1 KRW</t>
        </is>
      </c>
      <c r="AO2" s="2" t="inlineStr">
        <is>
          <t>1 KRW</t>
        </is>
      </c>
      <c r="AP2" s="2" t="inlineStr">
        <is>
          <t>1 KRW</t>
        </is>
      </c>
      <c r="AQ2" s="2" t="inlineStr">
        <is>
          <t>1 KRW</t>
        </is>
      </c>
      <c r="AR2" s="2" t="inlineStr">
        <is>
          <t>1 KRW</t>
        </is>
      </c>
      <c r="AS2" s="2" t="inlineStr">
        <is>
          <t>1 KRW</t>
        </is>
      </c>
      <c r="AT2" s="2" t="inlineStr">
        <is>
          <t>1 KRW</t>
        </is>
      </c>
      <c r="AU2" s="2" t="inlineStr">
        <is>
          <t>1 KRW</t>
        </is>
      </c>
      <c r="AV2" s="2" t="inlineStr">
        <is>
          <t>1 KRW</t>
        </is>
      </c>
      <c r="AW2" s="2" t="inlineStr">
        <is>
          <t>1 KRW</t>
        </is>
      </c>
      <c r="AX2" s="2" t="inlineStr">
        <is>
          <t>1 KRW</t>
        </is>
      </c>
      <c r="AY2" s="2" t="inlineStr">
        <is>
          <t>1 KRW</t>
        </is>
      </c>
      <c r="AZ2" s="2" t="inlineStr">
        <is>
          <t>1 KRW</t>
        </is>
      </c>
      <c r="BA2" s="2" t="inlineStr">
        <is>
          <t>1 KRW</t>
        </is>
      </c>
      <c r="BB2" s="2" t="inlineStr">
        <is>
          <t>1 KRW</t>
        </is>
      </c>
      <c r="BC2" s="2" t="inlineStr">
        <is>
          <t>1 KRW</t>
        </is>
      </c>
      <c r="BD2" s="2" t="inlineStr">
        <is>
          <t>1 KRW</t>
        </is>
      </c>
      <c r="BE2" s="2" t="inlineStr">
        <is>
          <t>1 KRW</t>
        </is>
      </c>
      <c r="BF2" s="2" t="inlineStr">
        <is>
          <t>1 KRW</t>
        </is>
      </c>
      <c r="BG2" s="2" t="inlineStr">
        <is>
          <t>1 KRW</t>
        </is>
      </c>
      <c r="BH2" s="2" t="inlineStr">
        <is>
          <t>1 KRW</t>
        </is>
      </c>
      <c r="BI2" s="2" t="inlineStr">
        <is>
          <t>1 KRW</t>
        </is>
      </c>
      <c r="BJ2" s="2" t="inlineStr">
        <is>
          <t>1 KRW</t>
        </is>
      </c>
      <c r="BK2" s="2" t="inlineStr">
        <is>
          <t>1 KRW</t>
        </is>
      </c>
      <c r="BL2" s="2" t="inlineStr">
        <is>
          <t>1 KRW</t>
        </is>
      </c>
      <c r="BM2" s="2" t="inlineStr">
        <is>
          <t>1 KRW</t>
        </is>
      </c>
      <c r="BN2" s="2" t="inlineStr">
        <is>
          <t>1 KRW</t>
        </is>
      </c>
      <c r="BO2" s="2" t="inlineStr">
        <is>
          <t>1 KRW</t>
        </is>
      </c>
      <c r="BP2" s="2" t="inlineStr">
        <is>
          <t>1 KRW</t>
        </is>
      </c>
      <c r="BQ2" s="2" t="inlineStr">
        <is>
          <t>1 KRW</t>
        </is>
      </c>
      <c r="BR2" s="2" t="inlineStr">
        <is>
          <t>1 KRW</t>
        </is>
      </c>
      <c r="BS2" s="2" t="inlineStr">
        <is>
          <t>1 KRW</t>
        </is>
      </c>
      <c r="BT2" s="2" t="inlineStr">
        <is>
          <t>1 KRW</t>
        </is>
      </c>
      <c r="BU2" s="2" t="inlineStr">
        <is>
          <t>1 KRW</t>
        </is>
      </c>
      <c r="BV2" s="2" t="inlineStr">
        <is>
          <t>1 KRW</t>
        </is>
      </c>
      <c r="BW2" s="2" t="inlineStr">
        <is>
          <t>1 KRW</t>
        </is>
      </c>
      <c r="BX2" s="2" t="inlineStr">
        <is>
          <t>1 KRW</t>
        </is>
      </c>
      <c r="BY2" s="2" t="inlineStr">
        <is>
          <t>1 KRW</t>
        </is>
      </c>
      <c r="BZ2" s="2" t="inlineStr">
        <is>
          <t>1 KRW</t>
        </is>
      </c>
      <c r="CA2" s="2" t="inlineStr">
        <is>
          <t>1 KRW</t>
        </is>
      </c>
      <c r="CB2" s="2" t="inlineStr">
        <is>
          <t>1 KRW</t>
        </is>
      </c>
      <c r="CC2" s="2" t="inlineStr">
        <is>
          <t>1 KRW</t>
        </is>
      </c>
      <c r="CD2" s="2" t="inlineStr">
        <is>
          <t>1 KRW</t>
        </is>
      </c>
      <c r="CE2" s="2" t="inlineStr">
        <is>
          <t>1 KRW</t>
        </is>
      </c>
      <c r="CF2" s="2" t="inlineStr">
        <is>
          <t>1 KRW</t>
        </is>
      </c>
      <c r="CG2" s="2" t="inlineStr">
        <is>
          <t>1 KRW</t>
        </is>
      </c>
      <c r="CH2" s="2" t="inlineStr">
        <is>
          <t>1 KRW</t>
        </is>
      </c>
      <c r="CI2" s="2" t="inlineStr">
        <is>
          <t>1 KRW</t>
        </is>
      </c>
      <c r="CJ2" s="2" t="inlineStr">
        <is>
          <t>1 KRW</t>
        </is>
      </c>
      <c r="CK2" s="2" t="inlineStr">
        <is>
          <t>1 KRW</t>
        </is>
      </c>
      <c r="CL2" s="2" t="inlineStr">
        <is>
          <t>1 KRW</t>
        </is>
      </c>
      <c r="CM2" s="2" t="inlineStr">
        <is>
          <t>1 KRW</t>
        </is>
      </c>
      <c r="CN2" s="2" t="inlineStr">
        <is>
          <t>1 KRW</t>
        </is>
      </c>
      <c r="CO2" s="2" t="inlineStr">
        <is>
          <t>1 KRW</t>
        </is>
      </c>
      <c r="CP2" s="2" t="inlineStr">
        <is>
          <t>1 KRW</t>
        </is>
      </c>
      <c r="CQ2" s="2" t="inlineStr">
        <is>
          <t>1 KRW</t>
        </is>
      </c>
      <c r="CR2" s="2" t="inlineStr">
        <is>
          <t>1 KRW</t>
        </is>
      </c>
      <c r="CS2" s="2" t="inlineStr">
        <is>
          <t>1 KRW</t>
        </is>
      </c>
      <c r="CT2" s="2" t="inlineStr">
        <is>
          <t>1 KRW</t>
        </is>
      </c>
      <c r="CU2" s="2" t="inlineStr">
        <is>
          <t>1 KRW</t>
        </is>
      </c>
      <c r="CV2" s="2" t="inlineStr">
        <is>
          <t>1 KRW</t>
        </is>
      </c>
      <c r="CW2" s="2" t="inlineStr">
        <is>
          <t>1 KRW</t>
        </is>
      </c>
      <c r="CX2" s="2" t="inlineStr">
        <is>
          <t>1 KRW</t>
        </is>
      </c>
      <c r="CY2" s="2" t="inlineStr">
        <is>
          <t>1 KRW</t>
        </is>
      </c>
      <c r="CZ2" s="2" t="inlineStr">
        <is>
          <t>1 KRW</t>
        </is>
      </c>
      <c r="DA2" s="2" t="inlineStr">
        <is>
          <t>1 KRW</t>
        </is>
      </c>
      <c r="DB2" s="2" t="inlineStr">
        <is>
          <t>1 KRW</t>
        </is>
      </c>
      <c r="DC2" s="2" t="inlineStr">
        <is>
          <t>1 KRW</t>
        </is>
      </c>
      <c r="DD2" s="2" t="inlineStr">
        <is>
          <t>1 KRW</t>
        </is>
      </c>
      <c r="DE2" s="2" t="inlineStr">
        <is>
          <t>1 KRW</t>
        </is>
      </c>
      <c r="DF2" s="2" t="inlineStr">
        <is>
          <t>1 KRW</t>
        </is>
      </c>
      <c r="DG2" s="2" t="inlineStr">
        <is>
          <t>1 KRW</t>
        </is>
      </c>
      <c r="DH2" s="2" t="inlineStr">
        <is>
          <t>1 KRW</t>
        </is>
      </c>
      <c r="DI2" s="2" t="inlineStr">
        <is>
          <t>1 KRW</t>
        </is>
      </c>
      <c r="DJ2" s="2" t="inlineStr">
        <is>
          <t>1 KRW</t>
        </is>
      </c>
      <c r="DK2" s="2" t="inlineStr">
        <is>
          <t>1 KRW</t>
        </is>
      </c>
      <c r="DL2" s="2" t="inlineStr">
        <is>
          <t>1 KRW</t>
        </is>
      </c>
      <c r="DM2" s="2" t="inlineStr">
        <is>
          <t>1 KRW</t>
        </is>
      </c>
      <c r="DN2" s="2" t="inlineStr">
        <is>
          <t>1 KRW</t>
        </is>
      </c>
      <c r="DO2" s="2" t="inlineStr">
        <is>
          <t>1 KRW</t>
        </is>
      </c>
      <c r="DP2" s="2" t="inlineStr">
        <is>
          <t>1 KRW</t>
        </is>
      </c>
      <c r="DQ2" s="2" t="inlineStr">
        <is>
          <t>1 KRW</t>
        </is>
      </c>
      <c r="DR2" s="2" t="inlineStr">
        <is>
          <t>1 KRW</t>
        </is>
      </c>
      <c r="DS2" s="2" t="inlineStr">
        <is>
          <t>1 KRW</t>
        </is>
      </c>
      <c r="DT2" s="2" t="inlineStr">
        <is>
          <t>1 KRW</t>
        </is>
      </c>
      <c r="DU2" s="2" t="inlineStr">
        <is>
          <t>1 KRW</t>
        </is>
      </c>
      <c r="DV2" s="2" t="inlineStr">
        <is>
          <t>1 KRW</t>
        </is>
      </c>
      <c r="DW2" s="2" t="inlineStr">
        <is>
          <t>1 KRW</t>
        </is>
      </c>
      <c r="DX2" s="2" t="inlineStr">
        <is>
          <t>1 KRW</t>
        </is>
      </c>
      <c r="DY2" s="2" t="inlineStr">
        <is>
          <t>1 KRW</t>
        </is>
      </c>
      <c r="DZ2" s="2" t="inlineStr">
        <is>
          <t>1 KRW</t>
        </is>
      </c>
      <c r="EA2" s="2" t="inlineStr">
        <is>
          <t>1 KRW</t>
        </is>
      </c>
      <c r="EB2" s="2" t="inlineStr">
        <is>
          <t>1 KRW</t>
        </is>
      </c>
      <c r="EC2" s="2" t="inlineStr">
        <is>
          <t>1 KRW</t>
        </is>
      </c>
      <c r="ED2" s="2" t="inlineStr">
        <is>
          <t>1 KRW</t>
        </is>
      </c>
      <c r="EE2" s="2" t="inlineStr">
        <is>
          <t>1 KRW</t>
        </is>
      </c>
      <c r="EF2" s="2" t="inlineStr">
        <is>
          <t>1 KRW</t>
        </is>
      </c>
      <c r="EG2" s="2" t="inlineStr">
        <is>
          <t>1 KRW</t>
        </is>
      </c>
      <c r="EH2" s="2" t="inlineStr">
        <is>
          <t>1 KRW</t>
        </is>
      </c>
      <c r="EI2" s="2" t="inlineStr">
        <is>
          <t>1 KRW</t>
        </is>
      </c>
      <c r="EJ2" s="2" t="inlineStr">
        <is>
          <t>1 KRW</t>
        </is>
      </c>
      <c r="EK2" s="2" t="inlineStr">
        <is>
          <t>1 KRW</t>
        </is>
      </c>
    </row>
    <row r="3">
      <c r="A3" s="3" t="inlineStr">
        <is>
          <t>20313      영업-차량대리점팀</t>
        </is>
      </c>
      <c r="B3" s="3" t="inlineStr">
        <is>
          <t>PCC90001           GB 250L(테스트-대리점)*</t>
        </is>
      </c>
      <c r="C3" s="3" t="inlineStr">
        <is>
          <t>2026/008 8월 2026</t>
        </is>
      </c>
      <c r="D3" s="3" t="inlineStr">
        <is>
          <t>미지정</t>
        </is>
      </c>
      <c r="E3" s="3" t="inlineStr">
        <is>
          <t>미지정</t>
        </is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29" t="n">
        <v>0</v>
      </c>
      <c r="N3" s="29" t="n">
        <v>0</v>
      </c>
      <c r="O3" s="29" t="n">
        <v>0</v>
      </c>
      <c r="P3" s="29" t="n">
        <v>0</v>
      </c>
      <c r="Q3" s="29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0</v>
      </c>
      <c r="BA3" s="4" t="n">
        <v>0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0</v>
      </c>
      <c r="BQ3" s="4" t="n">
        <v>0</v>
      </c>
      <c r="BR3" s="4" t="n">
        <v>0</v>
      </c>
      <c r="BS3" s="4" t="n">
        <v>0</v>
      </c>
      <c r="BT3" s="4" t="n">
        <v>0</v>
      </c>
      <c r="BU3" s="4" t="n">
        <v>0</v>
      </c>
      <c r="BV3" s="4" t="n">
        <v>0</v>
      </c>
      <c r="BW3" s="4" t="n">
        <v>0</v>
      </c>
      <c r="BX3" s="4" t="n">
        <v>0</v>
      </c>
      <c r="BY3" s="4" t="n">
        <v>0</v>
      </c>
      <c r="BZ3" s="4" t="n">
        <v>0</v>
      </c>
      <c r="CA3" s="4" t="n">
        <v>0</v>
      </c>
      <c r="CB3" s="4" t="n">
        <v>0</v>
      </c>
      <c r="CC3" s="4" t="n">
        <v>0</v>
      </c>
      <c r="CD3" s="4" t="n">
        <v>0</v>
      </c>
      <c r="CE3" s="4" t="n">
        <v>0</v>
      </c>
      <c r="CF3" s="4" t="n">
        <v>0</v>
      </c>
      <c r="CG3" s="4" t="n">
        <v>0</v>
      </c>
      <c r="CH3" s="4" t="n">
        <v>0</v>
      </c>
      <c r="CI3" s="4" t="n">
        <v>0</v>
      </c>
      <c r="CJ3" s="4" t="n">
        <v>0</v>
      </c>
      <c r="CK3" s="4" t="n">
        <v>0</v>
      </c>
      <c r="CL3" s="4" t="n">
        <v>0</v>
      </c>
      <c r="CM3" s="4" t="n">
        <v>0</v>
      </c>
      <c r="CN3" s="4" t="n">
        <v>0</v>
      </c>
      <c r="CO3" s="4" t="n">
        <v>0</v>
      </c>
      <c r="CP3" s="4" t="n">
        <v>0</v>
      </c>
      <c r="CQ3" s="4" t="n">
        <v>0</v>
      </c>
      <c r="CR3" s="4" t="n">
        <v>0</v>
      </c>
      <c r="CS3" s="4" t="n">
        <v>0</v>
      </c>
      <c r="CT3" s="4" t="n">
        <v>0</v>
      </c>
      <c r="CU3" s="4" t="n">
        <v>0</v>
      </c>
      <c r="CV3" s="4" t="n">
        <v>0</v>
      </c>
      <c r="CW3" s="4" t="n">
        <v>0</v>
      </c>
      <c r="CX3" s="4" t="n">
        <v>0</v>
      </c>
      <c r="CY3" s="4" t="n">
        <v>0</v>
      </c>
      <c r="CZ3" s="4" t="n">
        <v>0</v>
      </c>
      <c r="DA3" s="4" t="n">
        <v>0</v>
      </c>
      <c r="DB3" s="4" t="n">
        <v>0</v>
      </c>
      <c r="DC3" s="4" t="n">
        <v>0</v>
      </c>
      <c r="DD3" s="4" t="n">
        <v>0</v>
      </c>
      <c r="DE3" s="4" t="n">
        <v>0</v>
      </c>
      <c r="DF3" s="4" t="n">
        <v>0</v>
      </c>
      <c r="DG3" s="4" t="n">
        <v>0</v>
      </c>
      <c r="DH3" s="4" t="n">
        <v>0</v>
      </c>
      <c r="DI3" s="4" t="n">
        <v>0</v>
      </c>
      <c r="DJ3" s="4" t="n">
        <v>0</v>
      </c>
      <c r="DK3" s="4" t="n">
        <v>0</v>
      </c>
      <c r="DL3" s="4" t="n">
        <v>0</v>
      </c>
      <c r="DM3" s="4" t="n">
        <v>0</v>
      </c>
      <c r="DN3" s="4" t="n">
        <v>0</v>
      </c>
      <c r="DO3" s="4" t="n">
        <v>0</v>
      </c>
      <c r="DP3" s="4" t="n">
        <v>0</v>
      </c>
      <c r="DQ3" s="4" t="n">
        <v>0</v>
      </c>
      <c r="DR3" s="4" t="n">
        <v>0</v>
      </c>
      <c r="DS3" s="4" t="n">
        <v>0</v>
      </c>
      <c r="DT3" s="4" t="n">
        <v>0</v>
      </c>
      <c r="DU3" s="4" t="n">
        <v>0</v>
      </c>
      <c r="DV3" s="4" t="n">
        <v>0</v>
      </c>
      <c r="DW3" s="4" t="n">
        <v>0</v>
      </c>
      <c r="DX3" s="4" t="n">
        <v>0</v>
      </c>
      <c r="DY3" s="4" t="n">
        <v>0</v>
      </c>
      <c r="DZ3" s="4" t="n">
        <v>0</v>
      </c>
      <c r="EA3" s="4" t="n">
        <v>0</v>
      </c>
      <c r="EB3" s="4" t="n">
        <v>0</v>
      </c>
      <c r="EC3" s="4" t="n">
        <v>0</v>
      </c>
      <c r="ED3" s="4" t="n">
        <v>0</v>
      </c>
      <c r="EE3" s="4" t="n">
        <v>0</v>
      </c>
      <c r="EF3" s="4" t="n">
        <v>0</v>
      </c>
      <c r="EG3" s="4" t="n">
        <v>0</v>
      </c>
      <c r="EH3" s="4" t="n">
        <v>0</v>
      </c>
      <c r="EI3" s="4" t="n">
        <v>0</v>
      </c>
      <c r="EJ3" s="4" t="n">
        <v>0</v>
      </c>
      <c r="EK3" s="4" t="n">
        <v>0</v>
      </c>
    </row>
    <row r="4">
      <c r="A4" s="3" t="inlineStr">
        <is>
          <t>20313      영업-차량대리점팀</t>
        </is>
      </c>
      <c r="B4" s="3" t="inlineStr">
        <is>
          <t>PCC90002           GB 300L(테스트-대리점)*</t>
        </is>
      </c>
      <c r="C4" s="3" t="inlineStr">
        <is>
          <t>2026/008 8월 2026</t>
        </is>
      </c>
      <c r="D4" s="3" t="inlineStr">
        <is>
          <t>2100001    (주)테스트배터리대전</t>
        </is>
      </c>
      <c r="E4" s="3" t="inlineStr">
        <is>
          <t>2100001    (주)테스트배터리대전</t>
        </is>
      </c>
      <c r="F4" s="4" t="n">
        <v>934912</v>
      </c>
      <c r="G4" s="4" t="n">
        <v>210805</v>
      </c>
      <c r="H4" s="4" t="n">
        <v>2308113</v>
      </c>
      <c r="I4" s="4" t="n">
        <v>0</v>
      </c>
      <c r="J4" s="4" t="n">
        <v>0</v>
      </c>
      <c r="K4" s="4" t="n">
        <v>2055301</v>
      </c>
      <c r="L4" s="4" t="n">
        <v>1873427</v>
      </c>
      <c r="M4" s="29" t="n">
        <v>1171528</v>
      </c>
      <c r="N4" s="29" t="n">
        <v>860791</v>
      </c>
      <c r="O4" s="29" t="n">
        <v>4575866</v>
      </c>
      <c r="P4" s="29" t="n">
        <v>730295</v>
      </c>
      <c r="Q4" s="29" t="n">
        <v>4954410</v>
      </c>
      <c r="R4" s="4" t="n">
        <v>3540336</v>
      </c>
      <c r="S4" s="4" t="n">
        <v>267612</v>
      </c>
      <c r="T4" s="4" t="n">
        <v>250957</v>
      </c>
      <c r="U4" s="4" t="n">
        <v>786972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1835068</v>
      </c>
      <c r="AA4" s="4" t="n">
        <v>1952701</v>
      </c>
      <c r="AB4" s="4" t="n">
        <v>4240227</v>
      </c>
      <c r="AC4" s="4" t="n">
        <v>223599</v>
      </c>
      <c r="AD4" s="4" t="n">
        <v>4709064</v>
      </c>
      <c r="AE4" s="4" t="n">
        <v>0</v>
      </c>
      <c r="AF4" s="4" t="n">
        <v>0</v>
      </c>
      <c r="AG4" s="4" t="n">
        <v>1668971</v>
      </c>
      <c r="AH4" s="4" t="n">
        <v>4572300</v>
      </c>
      <c r="AI4" s="4" t="n">
        <v>3520187</v>
      </c>
      <c r="AJ4" s="4" t="n">
        <v>1850189</v>
      </c>
      <c r="AK4" s="4" t="n">
        <v>3769238</v>
      </c>
      <c r="AL4" s="4" t="n">
        <v>0</v>
      </c>
      <c r="AM4" s="4" t="n">
        <v>0</v>
      </c>
      <c r="AN4" s="4" t="n">
        <v>4944118</v>
      </c>
      <c r="AO4" s="4" t="n">
        <v>2334632</v>
      </c>
      <c r="AP4" s="4" t="n">
        <v>55515</v>
      </c>
      <c r="AQ4" s="4" t="n">
        <v>1340319</v>
      </c>
      <c r="AR4" s="4" t="n">
        <v>3546146</v>
      </c>
      <c r="AS4" s="4" t="n">
        <v>2855228</v>
      </c>
      <c r="AT4" s="4" t="n">
        <v>2331953</v>
      </c>
      <c r="AU4" s="4" t="n">
        <v>1305256</v>
      </c>
      <c r="AV4" s="4" t="n">
        <v>1807182</v>
      </c>
      <c r="AW4" s="4" t="n">
        <v>2824559</v>
      </c>
      <c r="AX4" s="4" t="n">
        <v>858401</v>
      </c>
      <c r="AY4" s="4" t="n">
        <v>0</v>
      </c>
      <c r="AZ4" s="4" t="n">
        <v>0</v>
      </c>
      <c r="BA4" s="4" t="n">
        <v>779008</v>
      </c>
      <c r="BB4" s="4" t="n">
        <v>3188061</v>
      </c>
      <c r="BC4" s="4" t="n">
        <v>812315</v>
      </c>
      <c r="BD4" s="4" t="n">
        <v>3012337</v>
      </c>
      <c r="BE4" s="4" t="n">
        <v>2886309</v>
      </c>
      <c r="BF4" s="4" t="n">
        <v>0</v>
      </c>
      <c r="BG4" s="4" t="n">
        <v>2219961</v>
      </c>
      <c r="BH4" s="4" t="n">
        <v>365488</v>
      </c>
      <c r="BI4" s="4" t="n">
        <v>3854935</v>
      </c>
      <c r="BJ4" s="4" t="n">
        <v>4499207</v>
      </c>
      <c r="BK4" s="4" t="n">
        <v>1048117</v>
      </c>
      <c r="BL4" s="4" t="n">
        <v>3176376</v>
      </c>
      <c r="BM4" s="4" t="n">
        <v>662023</v>
      </c>
      <c r="BN4" s="4" t="n">
        <v>4631852</v>
      </c>
      <c r="BO4" s="4" t="n">
        <v>-2460357</v>
      </c>
      <c r="BP4" s="4" t="n">
        <v>3034614</v>
      </c>
      <c r="BQ4" s="4" t="n">
        <v>4844180</v>
      </c>
      <c r="BR4" s="4" t="n">
        <v>-1614033</v>
      </c>
      <c r="BS4" s="4" t="n">
        <v>584470</v>
      </c>
      <c r="BT4" s="4" t="n">
        <v>-385402</v>
      </c>
      <c r="BU4" s="4" t="n">
        <v>-1912749</v>
      </c>
      <c r="BV4" s="4" t="n">
        <v>2428562</v>
      </c>
      <c r="BW4" s="4" t="n">
        <v>-670343</v>
      </c>
      <c r="BX4" s="4" t="n">
        <v>-1953791</v>
      </c>
      <c r="BY4" s="4" t="n">
        <v>848261</v>
      </c>
      <c r="BZ4" s="4" t="n">
        <v>3189729</v>
      </c>
      <c r="CA4" s="4" t="n">
        <v>2332811</v>
      </c>
      <c r="CB4" s="4" t="n">
        <v>3804481</v>
      </c>
      <c r="CC4" s="4" t="n">
        <v>0</v>
      </c>
      <c r="CD4" s="4" t="n">
        <v>0</v>
      </c>
      <c r="CE4" s="4" t="n">
        <v>0</v>
      </c>
      <c r="CF4" s="4" t="n">
        <v>3061434</v>
      </c>
      <c r="CG4" s="4" t="n">
        <v>0</v>
      </c>
      <c r="CH4" s="4" t="n">
        <v>1365441</v>
      </c>
      <c r="CI4" s="4" t="n">
        <v>3106303</v>
      </c>
      <c r="CJ4" s="4" t="n">
        <v>2981226</v>
      </c>
      <c r="CK4" s="4" t="n">
        <v>1758472</v>
      </c>
      <c r="CL4" s="4" t="n">
        <v>2240572</v>
      </c>
      <c r="CM4" s="4" t="n">
        <v>599967</v>
      </c>
      <c r="CN4" s="4" t="n">
        <v>1436615</v>
      </c>
      <c r="CO4" s="4" t="n">
        <v>4481690</v>
      </c>
      <c r="CP4" s="4" t="n">
        <v>2054622</v>
      </c>
      <c r="CQ4" s="4" t="n">
        <v>0</v>
      </c>
      <c r="CR4" s="4" t="n">
        <v>1371719</v>
      </c>
      <c r="CS4" s="4" t="n">
        <v>3878719</v>
      </c>
      <c r="CT4" s="4" t="n">
        <v>3184102</v>
      </c>
      <c r="CU4" s="4" t="n">
        <v>2265486</v>
      </c>
      <c r="CV4" s="4" t="n">
        <v>0</v>
      </c>
      <c r="CW4" s="4" t="n">
        <v>0</v>
      </c>
      <c r="CX4" s="4" t="n">
        <v>4673033</v>
      </c>
      <c r="CY4" s="4" t="n">
        <v>1843265</v>
      </c>
      <c r="CZ4" s="4" t="n">
        <v>0</v>
      </c>
      <c r="DA4" s="4" t="n">
        <v>2721280</v>
      </c>
      <c r="DB4" s="4" t="n">
        <v>470241</v>
      </c>
      <c r="DC4" s="4" t="n">
        <v>1922394</v>
      </c>
      <c r="DD4" s="4" t="n">
        <v>0</v>
      </c>
      <c r="DE4" s="4" t="n">
        <v>270276</v>
      </c>
      <c r="DF4" s="4" t="n">
        <v>0</v>
      </c>
      <c r="DG4" s="4" t="n">
        <v>0</v>
      </c>
      <c r="DH4" s="4" t="n">
        <v>0</v>
      </c>
      <c r="DI4" s="4" t="n">
        <v>0</v>
      </c>
      <c r="DJ4" s="4" t="n">
        <v>2647211</v>
      </c>
      <c r="DK4" s="4" t="n">
        <v>0</v>
      </c>
      <c r="DL4" s="4" t="n">
        <v>0</v>
      </c>
      <c r="DM4" s="4" t="n">
        <v>-3366214</v>
      </c>
      <c r="DN4" s="4" t="n">
        <v>2246973</v>
      </c>
      <c r="DO4" s="4" t="n">
        <v>-556230</v>
      </c>
      <c r="DP4" s="4" t="n">
        <v>0</v>
      </c>
      <c r="DQ4" s="4" t="n">
        <v>-1770852</v>
      </c>
      <c r="DR4" s="4" t="n">
        <v>-4758851</v>
      </c>
      <c r="DS4" s="4" t="n">
        <v>2640709</v>
      </c>
      <c r="DT4" s="4" t="n">
        <v>1784640</v>
      </c>
      <c r="DU4" s="4" t="n">
        <v>0</v>
      </c>
      <c r="DV4" s="4" t="n">
        <v>4188855</v>
      </c>
      <c r="DW4" s="4" t="n">
        <v>3319800</v>
      </c>
      <c r="DX4" s="4" t="n">
        <v>3850128</v>
      </c>
      <c r="DY4" s="4" t="n">
        <v>-1199493</v>
      </c>
      <c r="DZ4" s="4" t="n">
        <v>-2222975</v>
      </c>
      <c r="EA4" s="4" t="n">
        <v>-1172304</v>
      </c>
      <c r="EB4" s="4" t="n">
        <v>-2069861</v>
      </c>
      <c r="EC4" s="4" t="n">
        <v>0</v>
      </c>
      <c r="ED4" s="4" t="n">
        <v>0</v>
      </c>
      <c r="EE4" s="4" t="n">
        <v>0</v>
      </c>
      <c r="EF4" s="4" t="n">
        <v>4710097</v>
      </c>
      <c r="EG4" s="4" t="n">
        <v>0</v>
      </c>
      <c r="EH4" s="4" t="n">
        <v>-4522269</v>
      </c>
      <c r="EI4" s="4" t="n">
        <v>0</v>
      </c>
      <c r="EJ4" s="4" t="n">
        <v>0</v>
      </c>
      <c r="EK4" s="4" t="n">
        <v>0</v>
      </c>
    </row>
    <row r="5">
      <c r="A5" s="3" t="inlineStr">
        <is>
          <t>20313      영업-차량대리점팀</t>
        </is>
      </c>
      <c r="B5" s="3" t="inlineStr">
        <is>
          <t>PCC90001           GB 250L(테스트-대리점)*</t>
        </is>
      </c>
      <c r="C5" s="3" t="inlineStr">
        <is>
          <t>2026/008 8월 2026</t>
        </is>
      </c>
      <c r="D5" s="3" t="inlineStr">
        <is>
          <t>2100002    성진상사(부산)</t>
        </is>
      </c>
      <c r="E5" s="3" t="inlineStr">
        <is>
          <t>2100002    성진상사(부산)</t>
        </is>
      </c>
      <c r="F5" s="4" t="n">
        <v>2205036</v>
      </c>
      <c r="G5" s="4" t="n">
        <v>4904862</v>
      </c>
      <c r="H5" s="4" t="n">
        <v>3594963</v>
      </c>
      <c r="I5" s="4" t="n">
        <v>0</v>
      </c>
      <c r="J5" s="4" t="n">
        <v>0</v>
      </c>
      <c r="K5" s="4" t="n">
        <v>4896028</v>
      </c>
      <c r="L5" s="4" t="n">
        <v>3351414</v>
      </c>
      <c r="M5" s="29" t="n">
        <v>3037646</v>
      </c>
      <c r="N5" s="29" t="n">
        <v>1840795</v>
      </c>
      <c r="O5" s="29" t="n">
        <v>1161410</v>
      </c>
      <c r="P5" s="29" t="n">
        <v>4275216</v>
      </c>
      <c r="Q5" s="29" t="n">
        <v>4140910</v>
      </c>
      <c r="R5" s="4" t="n">
        <v>763603</v>
      </c>
      <c r="S5" s="4" t="n">
        <v>396240</v>
      </c>
      <c r="T5" s="4" t="n">
        <v>920803</v>
      </c>
      <c r="U5" s="4" t="n">
        <v>1283125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1343026</v>
      </c>
      <c r="AA5" s="4" t="n">
        <v>3542334</v>
      </c>
      <c r="AB5" s="4" t="n">
        <v>533909</v>
      </c>
      <c r="AC5" s="4" t="n">
        <v>3228662</v>
      </c>
      <c r="AD5" s="4" t="n">
        <v>3202254</v>
      </c>
      <c r="AE5" s="4" t="n">
        <v>0</v>
      </c>
      <c r="AF5" s="4" t="n">
        <v>0</v>
      </c>
      <c r="AG5" s="4" t="n">
        <v>4999674</v>
      </c>
      <c r="AH5" s="4" t="n">
        <v>3927287</v>
      </c>
      <c r="AI5" s="4" t="n">
        <v>4439532</v>
      </c>
      <c r="AJ5" s="4" t="n">
        <v>2110014</v>
      </c>
      <c r="AK5" s="4" t="n">
        <v>4641795</v>
      </c>
      <c r="AL5" s="4" t="n">
        <v>0</v>
      </c>
      <c r="AM5" s="4" t="n">
        <v>0</v>
      </c>
      <c r="AN5" s="4" t="n">
        <v>97309</v>
      </c>
      <c r="AO5" s="4" t="n">
        <v>961929</v>
      </c>
      <c r="AP5" s="4" t="n">
        <v>4505433</v>
      </c>
      <c r="AQ5" s="4" t="n">
        <v>2239291</v>
      </c>
      <c r="AR5" s="4" t="n">
        <v>2854598</v>
      </c>
      <c r="AS5" s="4" t="n">
        <v>936767</v>
      </c>
      <c r="AT5" s="4" t="n">
        <v>2463057</v>
      </c>
      <c r="AU5" s="4" t="n">
        <v>3648075</v>
      </c>
      <c r="AV5" s="4" t="n">
        <v>1327723</v>
      </c>
      <c r="AW5" s="4" t="n">
        <v>3807110</v>
      </c>
      <c r="AX5" s="4" t="n">
        <v>28223</v>
      </c>
      <c r="AY5" s="4" t="n">
        <v>0</v>
      </c>
      <c r="AZ5" s="4" t="n">
        <v>0</v>
      </c>
      <c r="BA5" s="4" t="n">
        <v>2210467</v>
      </c>
      <c r="BB5" s="4" t="n">
        <v>4200220</v>
      </c>
      <c r="BC5" s="4" t="n">
        <v>1499640</v>
      </c>
      <c r="BD5" s="4" t="n">
        <v>4259742</v>
      </c>
      <c r="BE5" s="4" t="n">
        <v>893638</v>
      </c>
      <c r="BF5" s="4" t="n">
        <v>0</v>
      </c>
      <c r="BG5" s="4" t="n">
        <v>2504536</v>
      </c>
      <c r="BH5" s="4" t="n">
        <v>4259584</v>
      </c>
      <c r="BI5" s="4" t="n">
        <v>1669587</v>
      </c>
      <c r="BJ5" s="4" t="n">
        <v>1283108</v>
      </c>
      <c r="BK5" s="4" t="n">
        <v>3137616</v>
      </c>
      <c r="BL5" s="4" t="n">
        <v>1356171</v>
      </c>
      <c r="BM5" s="4" t="n">
        <v>4525639</v>
      </c>
      <c r="BN5" s="4" t="n">
        <v>4449929</v>
      </c>
      <c r="BO5" s="4" t="n">
        <v>-5797</v>
      </c>
      <c r="BP5" s="4" t="n">
        <v>2720218</v>
      </c>
      <c r="BQ5" s="4" t="n">
        <v>4099721</v>
      </c>
      <c r="BR5" s="4" t="n">
        <v>-164382</v>
      </c>
      <c r="BS5" s="4" t="n">
        <v>939414</v>
      </c>
      <c r="BT5" s="4" t="n">
        <v>-3045903</v>
      </c>
      <c r="BU5" s="4" t="n">
        <v>-2580615</v>
      </c>
      <c r="BV5" s="4" t="n">
        <v>2009671</v>
      </c>
      <c r="BW5" s="4" t="n">
        <v>-486911</v>
      </c>
      <c r="BX5" s="4" t="n">
        <v>-2021577</v>
      </c>
      <c r="BY5" s="4" t="n">
        <v>4760334</v>
      </c>
      <c r="BZ5" s="4" t="n">
        <v>661662</v>
      </c>
      <c r="CA5" s="4" t="n">
        <v>719513</v>
      </c>
      <c r="CB5" s="4" t="n">
        <v>4077783</v>
      </c>
      <c r="CC5" s="4" t="n">
        <v>0</v>
      </c>
      <c r="CD5" s="4" t="n">
        <v>0</v>
      </c>
      <c r="CE5" s="4" t="n">
        <v>0</v>
      </c>
      <c r="CF5" s="4" t="n">
        <v>581596</v>
      </c>
      <c r="CG5" s="4" t="n">
        <v>0</v>
      </c>
      <c r="CH5" s="4" t="n">
        <v>4469663</v>
      </c>
      <c r="CI5" s="4" t="n">
        <v>1055955</v>
      </c>
      <c r="CJ5" s="4" t="n">
        <v>1078025</v>
      </c>
      <c r="CK5" s="4" t="n">
        <v>3987957</v>
      </c>
      <c r="CL5" s="4" t="n">
        <v>4613086</v>
      </c>
      <c r="CM5" s="4" t="n">
        <v>1386185</v>
      </c>
      <c r="CN5" s="4" t="n">
        <v>2224456</v>
      </c>
      <c r="CO5" s="4" t="n">
        <v>4427448</v>
      </c>
      <c r="CP5" s="4" t="n">
        <v>3550538</v>
      </c>
      <c r="CQ5" s="4" t="n">
        <v>0</v>
      </c>
      <c r="CR5" s="4" t="n">
        <v>1777692</v>
      </c>
      <c r="CS5" s="4" t="n">
        <v>4524943</v>
      </c>
      <c r="CT5" s="4" t="n">
        <v>1688377</v>
      </c>
      <c r="CU5" s="4" t="n">
        <v>2615865</v>
      </c>
      <c r="CV5" s="4" t="n">
        <v>0</v>
      </c>
      <c r="CW5" s="4" t="n">
        <v>0</v>
      </c>
      <c r="CX5" s="4" t="n">
        <v>3347989</v>
      </c>
      <c r="CY5" s="4" t="n">
        <v>3133478</v>
      </c>
      <c r="CZ5" s="4" t="n">
        <v>0</v>
      </c>
      <c r="DA5" s="4" t="n">
        <v>3676049</v>
      </c>
      <c r="DB5" s="4" t="n">
        <v>4342740</v>
      </c>
      <c r="DC5" s="4" t="n">
        <v>3788340</v>
      </c>
      <c r="DD5" s="4" t="n">
        <v>0</v>
      </c>
      <c r="DE5" s="4" t="n">
        <v>1016056</v>
      </c>
      <c r="DF5" s="4" t="n">
        <v>0</v>
      </c>
      <c r="DG5" s="4" t="n">
        <v>0</v>
      </c>
      <c r="DH5" s="4" t="n">
        <v>0</v>
      </c>
      <c r="DI5" s="4" t="n">
        <v>0</v>
      </c>
      <c r="DJ5" s="4" t="n">
        <v>2080583</v>
      </c>
      <c r="DK5" s="4" t="n">
        <v>0</v>
      </c>
      <c r="DL5" s="4" t="n">
        <v>0</v>
      </c>
      <c r="DM5" s="4" t="n">
        <v>-1885897</v>
      </c>
      <c r="DN5" s="4" t="n">
        <v>538088</v>
      </c>
      <c r="DO5" s="4" t="n">
        <v>-2837067</v>
      </c>
      <c r="DP5" s="4" t="n">
        <v>0</v>
      </c>
      <c r="DQ5" s="4" t="n">
        <v>-177448</v>
      </c>
      <c r="DR5" s="4" t="n">
        <v>-4936091</v>
      </c>
      <c r="DS5" s="4" t="n">
        <v>4647630</v>
      </c>
      <c r="DT5" s="4" t="n">
        <v>1931342</v>
      </c>
      <c r="DU5" s="4" t="n">
        <v>0</v>
      </c>
      <c r="DV5" s="4" t="n">
        <v>4937193</v>
      </c>
      <c r="DW5" s="4" t="n">
        <v>1848317</v>
      </c>
      <c r="DX5" s="4" t="n">
        <v>61321</v>
      </c>
      <c r="DY5" s="4" t="n">
        <v>-596533</v>
      </c>
      <c r="DZ5" s="4" t="n">
        <v>-494868</v>
      </c>
      <c r="EA5" s="4" t="n">
        <v>-1921502</v>
      </c>
      <c r="EB5" s="4" t="n">
        <v>-566394</v>
      </c>
      <c r="EC5" s="4" t="n">
        <v>0</v>
      </c>
      <c r="ED5" s="4" t="n">
        <v>0</v>
      </c>
      <c r="EE5" s="4" t="n">
        <v>0</v>
      </c>
      <c r="EF5" s="4" t="n">
        <v>264510</v>
      </c>
      <c r="EG5" s="4" t="n">
        <v>0</v>
      </c>
      <c r="EH5" s="4" t="n">
        <v>-2772835</v>
      </c>
      <c r="EI5" s="4" t="n">
        <v>0</v>
      </c>
      <c r="EJ5" s="4" t="n">
        <v>0</v>
      </c>
      <c r="EK5" s="4" t="n">
        <v>0</v>
      </c>
    </row>
    <row r="6">
      <c r="A6" s="3" t="inlineStr">
        <is>
          <t>20313      영업-차량대리점팀</t>
        </is>
      </c>
      <c r="B6" s="3" t="inlineStr">
        <is>
          <t>PCC90002           GB 300L(테스트-대리점)*</t>
        </is>
      </c>
      <c r="C6" s="3" t="inlineStr">
        <is>
          <t>2026/008 8월 2026</t>
        </is>
      </c>
      <c r="D6" s="3" t="inlineStr">
        <is>
          <t>2100003    한빛정비공업사</t>
        </is>
      </c>
      <c r="E6" s="3" t="inlineStr">
        <is>
          <t>2100003    한빛정비공업사</t>
        </is>
      </c>
      <c r="F6" s="4" t="n">
        <v>595394</v>
      </c>
      <c r="G6" s="4" t="n">
        <v>4314054</v>
      </c>
      <c r="H6" s="4" t="n">
        <v>1997527</v>
      </c>
      <c r="I6" s="4" t="n">
        <v>0</v>
      </c>
      <c r="J6" s="4" t="n">
        <v>0</v>
      </c>
      <c r="K6" s="4" t="n">
        <v>2337036</v>
      </c>
      <c r="L6" s="4" t="n">
        <v>4072951</v>
      </c>
      <c r="M6" s="29" t="n">
        <v>1798148</v>
      </c>
      <c r="N6" s="29" t="n">
        <v>4524422</v>
      </c>
      <c r="O6" s="29" t="n">
        <v>1110912</v>
      </c>
      <c r="P6" s="29" t="n">
        <v>4791256</v>
      </c>
      <c r="Q6" s="29" t="n">
        <v>4834613</v>
      </c>
      <c r="R6" s="4" t="n">
        <v>3966051</v>
      </c>
      <c r="S6" s="4" t="n">
        <v>2039408</v>
      </c>
      <c r="T6" s="4" t="n">
        <v>3968584</v>
      </c>
      <c r="U6" s="4" t="n">
        <v>3415666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1598274</v>
      </c>
      <c r="AA6" s="4" t="n">
        <v>792262</v>
      </c>
      <c r="AB6" s="4" t="n">
        <v>814114</v>
      </c>
      <c r="AC6" s="4" t="n">
        <v>3616919</v>
      </c>
      <c r="AD6" s="4" t="n">
        <v>2973063</v>
      </c>
      <c r="AE6" s="4" t="n">
        <v>0</v>
      </c>
      <c r="AF6" s="4" t="n">
        <v>0</v>
      </c>
      <c r="AG6" s="4" t="n">
        <v>3554235</v>
      </c>
      <c r="AH6" s="4" t="n">
        <v>3449575</v>
      </c>
      <c r="AI6" s="4" t="n">
        <v>3918686</v>
      </c>
      <c r="AJ6" s="4" t="n">
        <v>455420</v>
      </c>
      <c r="AK6" s="4" t="n">
        <v>826588</v>
      </c>
      <c r="AL6" s="4" t="n">
        <v>0</v>
      </c>
      <c r="AM6" s="4" t="n">
        <v>0</v>
      </c>
      <c r="AN6" s="4" t="n">
        <v>509455</v>
      </c>
      <c r="AO6" s="4" t="n">
        <v>3378432</v>
      </c>
      <c r="AP6" s="4" t="n">
        <v>2847276</v>
      </c>
      <c r="AQ6" s="4" t="n">
        <v>917615</v>
      </c>
      <c r="AR6" s="4" t="n">
        <v>2086880</v>
      </c>
      <c r="AS6" s="4" t="n">
        <v>1608174</v>
      </c>
      <c r="AT6" s="4" t="n">
        <v>1596587</v>
      </c>
      <c r="AU6" s="4" t="n">
        <v>4499690</v>
      </c>
      <c r="AV6" s="4" t="n">
        <v>3764243</v>
      </c>
      <c r="AW6" s="4" t="n">
        <v>1176934</v>
      </c>
      <c r="AX6" s="4" t="n">
        <v>3539999</v>
      </c>
      <c r="AY6" s="4" t="n">
        <v>0</v>
      </c>
      <c r="AZ6" s="4" t="n">
        <v>0</v>
      </c>
      <c r="BA6" s="4" t="n">
        <v>1540209</v>
      </c>
      <c r="BB6" s="4" t="n">
        <v>2337606</v>
      </c>
      <c r="BC6" s="4" t="n">
        <v>3881805</v>
      </c>
      <c r="BD6" s="4" t="n">
        <v>2096528</v>
      </c>
      <c r="BE6" s="4" t="n">
        <v>633374</v>
      </c>
      <c r="BF6" s="4" t="n">
        <v>0</v>
      </c>
      <c r="BG6" s="4" t="n">
        <v>3718250</v>
      </c>
      <c r="BH6" s="4" t="n">
        <v>4617463</v>
      </c>
      <c r="BI6" s="4" t="n">
        <v>822317</v>
      </c>
      <c r="BJ6" s="4" t="n">
        <v>425365</v>
      </c>
      <c r="BK6" s="4" t="n">
        <v>4535780</v>
      </c>
      <c r="BL6" s="4" t="n">
        <v>124797</v>
      </c>
      <c r="BM6" s="4" t="n">
        <v>783344</v>
      </c>
      <c r="BN6" s="4" t="n">
        <v>1983894</v>
      </c>
      <c r="BO6" s="4" t="n">
        <v>-1396118</v>
      </c>
      <c r="BP6" s="4" t="n">
        <v>3410248</v>
      </c>
      <c r="BQ6" s="4" t="n">
        <v>4074853</v>
      </c>
      <c r="BR6" s="4" t="n">
        <v>-4038927</v>
      </c>
      <c r="BS6" s="4" t="n">
        <v>1794042</v>
      </c>
      <c r="BT6" s="4" t="n">
        <v>-3365169</v>
      </c>
      <c r="BU6" s="4" t="n">
        <v>-492869</v>
      </c>
      <c r="BV6" s="4" t="n">
        <v>1382076</v>
      </c>
      <c r="BW6" s="4" t="n">
        <v>-3180056</v>
      </c>
      <c r="BX6" s="4" t="n">
        <v>-19080</v>
      </c>
      <c r="BY6" s="4" t="n">
        <v>3276095</v>
      </c>
      <c r="BZ6" s="4" t="n">
        <v>2225684</v>
      </c>
      <c r="CA6" s="4" t="n">
        <v>3817886</v>
      </c>
      <c r="CB6" s="4" t="n">
        <v>2393843</v>
      </c>
      <c r="CC6" s="4" t="n">
        <v>0</v>
      </c>
      <c r="CD6" s="4" t="n">
        <v>0</v>
      </c>
      <c r="CE6" s="4" t="n">
        <v>0</v>
      </c>
      <c r="CF6" s="4" t="n">
        <v>3549443</v>
      </c>
      <c r="CG6" s="4" t="n">
        <v>0</v>
      </c>
      <c r="CH6" s="4" t="n">
        <v>4663122</v>
      </c>
      <c r="CI6" s="4" t="n">
        <v>4083495</v>
      </c>
      <c r="CJ6" s="4" t="n">
        <v>1299529</v>
      </c>
      <c r="CK6" s="4" t="n">
        <v>1593978</v>
      </c>
      <c r="CL6" s="4" t="n">
        <v>2489965</v>
      </c>
      <c r="CM6" s="4" t="n">
        <v>1827207</v>
      </c>
      <c r="CN6" s="4" t="n">
        <v>491593</v>
      </c>
      <c r="CO6" s="4" t="n">
        <v>4859516</v>
      </c>
      <c r="CP6" s="4" t="n">
        <v>4549263</v>
      </c>
      <c r="CQ6" s="4" t="n">
        <v>0</v>
      </c>
      <c r="CR6" s="4" t="n">
        <v>512349</v>
      </c>
      <c r="CS6" s="4" t="n">
        <v>2631707</v>
      </c>
      <c r="CT6" s="4" t="n">
        <v>480537</v>
      </c>
      <c r="CU6" s="4" t="n">
        <v>421624</v>
      </c>
      <c r="CV6" s="4" t="n">
        <v>0</v>
      </c>
      <c r="CW6" s="4" t="n">
        <v>0</v>
      </c>
      <c r="CX6" s="4" t="n">
        <v>4901436</v>
      </c>
      <c r="CY6" s="4" t="n">
        <v>4000591</v>
      </c>
      <c r="CZ6" s="4" t="n">
        <v>0</v>
      </c>
      <c r="DA6" s="4" t="n">
        <v>4219214</v>
      </c>
      <c r="DB6" s="4" t="n">
        <v>4456408</v>
      </c>
      <c r="DC6" s="4" t="n">
        <v>1321641</v>
      </c>
      <c r="DD6" s="4" t="n">
        <v>0</v>
      </c>
      <c r="DE6" s="4" t="n">
        <v>478140</v>
      </c>
      <c r="DF6" s="4" t="n">
        <v>0</v>
      </c>
      <c r="DG6" s="4" t="n">
        <v>0</v>
      </c>
      <c r="DH6" s="4" t="n">
        <v>0</v>
      </c>
      <c r="DI6" s="4" t="n">
        <v>0</v>
      </c>
      <c r="DJ6" s="4" t="n">
        <v>4260974</v>
      </c>
      <c r="DK6" s="4" t="n">
        <v>0</v>
      </c>
      <c r="DL6" s="4" t="n">
        <v>0</v>
      </c>
      <c r="DM6" s="4" t="n">
        <v>-673023</v>
      </c>
      <c r="DN6" s="4" t="n">
        <v>1559812</v>
      </c>
      <c r="DO6" s="4" t="n">
        <v>-575798</v>
      </c>
      <c r="DP6" s="4" t="n">
        <v>0</v>
      </c>
      <c r="DQ6" s="4" t="n">
        <v>-4992516</v>
      </c>
      <c r="DR6" s="4" t="n">
        <v>-571097</v>
      </c>
      <c r="DS6" s="4" t="n">
        <v>1974033</v>
      </c>
      <c r="DT6" s="4" t="n">
        <v>3388114</v>
      </c>
      <c r="DU6" s="4" t="n">
        <v>0</v>
      </c>
      <c r="DV6" s="4" t="n">
        <v>1006681</v>
      </c>
      <c r="DW6" s="4" t="n">
        <v>4779783</v>
      </c>
      <c r="DX6" s="4" t="n">
        <v>2066404</v>
      </c>
      <c r="DY6" s="4" t="n">
        <v>-4857325</v>
      </c>
      <c r="DZ6" s="4" t="n">
        <v>-4988188</v>
      </c>
      <c r="EA6" s="4" t="n">
        <v>-334377</v>
      </c>
      <c r="EB6" s="4" t="n">
        <v>-688726</v>
      </c>
      <c r="EC6" s="4" t="n">
        <v>0</v>
      </c>
      <c r="ED6" s="4" t="n">
        <v>0</v>
      </c>
      <c r="EE6" s="4" t="n">
        <v>0</v>
      </c>
      <c r="EF6" s="4" t="n">
        <v>3517713</v>
      </c>
      <c r="EG6" s="4" t="n">
        <v>0</v>
      </c>
      <c r="EH6" s="4" t="n">
        <v>-4897198</v>
      </c>
      <c r="EI6" s="4" t="n">
        <v>0</v>
      </c>
      <c r="EJ6" s="4" t="n">
        <v>0</v>
      </c>
      <c r="EK6" s="4" t="n">
        <v>0</v>
      </c>
    </row>
    <row r="7">
      <c r="A7" s="3" t="n"/>
      <c r="B7" s="3" t="n"/>
      <c r="C7" s="3" t="n"/>
      <c r="D7" s="3" t="n"/>
      <c r="E7" s="3" t="n"/>
      <c r="F7" s="4" t="n"/>
      <c r="G7" s="4" t="n"/>
      <c r="H7" s="4" t="n"/>
      <c r="I7" s="4" t="n"/>
      <c r="J7" s="4" t="n"/>
      <c r="K7" s="4" t="n"/>
      <c r="L7" s="4" t="n"/>
      <c r="M7" s="29" t="n"/>
      <c r="N7" s="29" t="n"/>
      <c r="O7" s="29" t="n"/>
      <c r="P7" s="29" t="n"/>
      <c r="Q7" s="29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/>
      <c r="BL7" s="4" t="n"/>
      <c r="BM7" s="4" t="n"/>
      <c r="BN7" s="4" t="n"/>
      <c r="BO7" s="4" t="n"/>
      <c r="BP7" s="4" t="n"/>
      <c r="BQ7" s="4" t="n"/>
      <c r="BR7" s="4" t="n"/>
      <c r="BS7" s="4" t="n"/>
      <c r="BT7" s="4" t="n"/>
      <c r="BU7" s="4" t="n"/>
      <c r="BV7" s="4" t="n"/>
      <c r="BW7" s="4" t="n"/>
      <c r="BX7" s="4" t="n"/>
      <c r="BY7" s="4" t="n"/>
      <c r="BZ7" s="4" t="n"/>
      <c r="CA7" s="4" t="n"/>
      <c r="CB7" s="4" t="n"/>
      <c r="CC7" s="4" t="n"/>
      <c r="CD7" s="4" t="n"/>
      <c r="CE7" s="4" t="n"/>
      <c r="CF7" s="4" t="n"/>
      <c r="CG7" s="4" t="n"/>
      <c r="CH7" s="4" t="n"/>
      <c r="CI7" s="4" t="n"/>
      <c r="CJ7" s="4" t="n"/>
      <c r="CK7" s="4" t="n"/>
      <c r="CL7" s="4" t="n"/>
      <c r="CM7" s="4" t="n"/>
      <c r="CN7" s="4" t="n"/>
      <c r="CO7" s="4" t="n"/>
      <c r="CP7" s="4" t="n"/>
      <c r="CQ7" s="4" t="n"/>
      <c r="CR7" s="4" t="n"/>
      <c r="CS7" s="4" t="n"/>
      <c r="CT7" s="4" t="n"/>
      <c r="CU7" s="4" t="n"/>
      <c r="CV7" s="4" t="n"/>
      <c r="CW7" s="4" t="n"/>
      <c r="CX7" s="4" t="n"/>
      <c r="CY7" s="4" t="n"/>
      <c r="CZ7" s="4" t="n"/>
      <c r="DA7" s="4" t="n"/>
      <c r="DB7" s="4" t="n"/>
      <c r="DC7" s="4" t="n"/>
      <c r="DD7" s="4" t="n"/>
      <c r="DE7" s="4" t="n"/>
      <c r="DF7" s="4" t="n"/>
      <c r="DG7" s="4" t="n"/>
      <c r="DH7" s="4" t="n"/>
      <c r="DI7" s="4" t="n"/>
      <c r="DJ7" s="4" t="n"/>
      <c r="DK7" s="4" t="n"/>
      <c r="DL7" s="4" t="n"/>
      <c r="DM7" s="4" t="n"/>
      <c r="DN7" s="4" t="n"/>
      <c r="DO7" s="4" t="n"/>
      <c r="DP7" s="4" t="n"/>
      <c r="DQ7" s="4" t="n"/>
      <c r="DR7" s="4" t="n"/>
      <c r="DS7" s="4" t="n"/>
      <c r="DT7" s="4" t="n"/>
      <c r="DU7" s="4" t="n"/>
      <c r="DV7" s="4" t="n"/>
      <c r="DW7" s="4" t="n"/>
      <c r="DX7" s="4" t="n"/>
      <c r="DY7" s="4" t="n"/>
      <c r="DZ7" s="4" t="n"/>
      <c r="EA7" s="4" t="n"/>
      <c r="EB7" s="4" t="n"/>
      <c r="EC7" s="4" t="n"/>
      <c r="ED7" s="4" t="n"/>
      <c r="EE7" s="4" t="n"/>
      <c r="EF7" s="4" t="n"/>
      <c r="EG7" s="4" t="n"/>
      <c r="EH7" s="4" t="n"/>
      <c r="EI7" s="4" t="n"/>
      <c r="EJ7" s="4" t="n"/>
      <c r="EK7" s="4" t="n"/>
    </row>
    <row r="8">
      <c r="A8" s="3" t="n"/>
      <c r="B8" s="3" t="n"/>
      <c r="C8" s="3" t="n"/>
      <c r="D8" s="3" t="n"/>
      <c r="E8" s="3" t="n"/>
      <c r="F8" s="4" t="n"/>
      <c r="G8" s="4" t="n"/>
      <c r="H8" s="4" t="n"/>
      <c r="I8" s="4" t="n"/>
      <c r="J8" s="4" t="n"/>
      <c r="K8" s="4" t="n"/>
      <c r="L8" s="4" t="n"/>
      <c r="M8" s="29" t="n"/>
      <c r="N8" s="29" t="n"/>
      <c r="O8" s="29" t="n"/>
      <c r="P8" s="29" t="n"/>
      <c r="Q8" s="29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/>
      <c r="BL8" s="4" t="n"/>
      <c r="BM8" s="4" t="n"/>
      <c r="BN8" s="4" t="n"/>
      <c r="BO8" s="4" t="n"/>
      <c r="BP8" s="4" t="n"/>
      <c r="BQ8" s="4" t="n"/>
      <c r="BR8" s="4" t="n"/>
      <c r="BS8" s="4" t="n"/>
      <c r="BT8" s="4" t="n"/>
      <c r="BU8" s="4" t="n"/>
      <c r="BV8" s="4" t="n"/>
      <c r="BW8" s="4" t="n"/>
      <c r="BX8" s="4" t="n"/>
      <c r="BY8" s="4" t="n"/>
      <c r="BZ8" s="4" t="n"/>
      <c r="CA8" s="4" t="n"/>
      <c r="CB8" s="4" t="n"/>
      <c r="CC8" s="4" t="n"/>
      <c r="CD8" s="4" t="n"/>
      <c r="CE8" s="4" t="n"/>
      <c r="CF8" s="4" t="n"/>
      <c r="CG8" s="4" t="n"/>
      <c r="CH8" s="4" t="n"/>
      <c r="CI8" s="4" t="n"/>
      <c r="CJ8" s="4" t="n"/>
      <c r="CK8" s="4" t="n"/>
      <c r="CL8" s="4" t="n"/>
      <c r="CM8" s="4" t="n"/>
      <c r="CN8" s="4" t="n"/>
      <c r="CO8" s="4" t="n"/>
      <c r="CP8" s="4" t="n"/>
      <c r="CQ8" s="4" t="n"/>
      <c r="CR8" s="4" t="n"/>
      <c r="CS8" s="4" t="n"/>
      <c r="CT8" s="4" t="n"/>
      <c r="CU8" s="4" t="n"/>
      <c r="CV8" s="4" t="n"/>
      <c r="CW8" s="4" t="n"/>
      <c r="CX8" s="4" t="n"/>
      <c r="CY8" s="4" t="n"/>
      <c r="CZ8" s="4" t="n"/>
      <c r="DA8" s="4" t="n"/>
      <c r="DB8" s="4" t="n"/>
      <c r="DC8" s="4" t="n"/>
      <c r="DD8" s="4" t="n"/>
      <c r="DE8" s="4" t="n"/>
      <c r="DF8" s="4" t="n"/>
      <c r="DG8" s="4" t="n"/>
      <c r="DH8" s="4" t="n"/>
      <c r="DI8" s="4" t="n"/>
      <c r="DJ8" s="4" t="n"/>
      <c r="DK8" s="4" t="n"/>
      <c r="DL8" s="4" t="n"/>
      <c r="DM8" s="4" t="n"/>
      <c r="DN8" s="4" t="n"/>
      <c r="DO8" s="4" t="n"/>
      <c r="DP8" s="4" t="n"/>
      <c r="DQ8" s="4" t="n"/>
      <c r="DR8" s="4" t="n"/>
      <c r="DS8" s="4" t="n"/>
      <c r="DT8" s="4" t="n"/>
      <c r="DU8" s="4" t="n"/>
      <c r="DV8" s="4" t="n"/>
      <c r="DW8" s="4" t="n"/>
      <c r="DX8" s="4" t="n"/>
      <c r="DY8" s="4" t="n"/>
      <c r="DZ8" s="4" t="n"/>
      <c r="EA8" s="4" t="n"/>
      <c r="EB8" s="4" t="n"/>
      <c r="EC8" s="4" t="n"/>
      <c r="ED8" s="4" t="n"/>
      <c r="EE8" s="4" t="n"/>
      <c r="EF8" s="4" t="n"/>
      <c r="EG8" s="4" t="n"/>
      <c r="EH8" s="4" t="n"/>
      <c r="EI8" s="4" t="n"/>
      <c r="EJ8" s="4" t="n"/>
      <c r="EK8" s="4" t="n"/>
    </row>
    <row r="9">
      <c r="A9" s="3" t="n"/>
      <c r="B9" s="3" t="n"/>
      <c r="C9" s="3" t="n"/>
      <c r="D9" s="3" t="n"/>
      <c r="E9" s="3" t="n"/>
      <c r="F9" s="4" t="n"/>
      <c r="G9" s="4" t="n"/>
      <c r="H9" s="4" t="n"/>
      <c r="I9" s="4" t="n"/>
      <c r="J9" s="4" t="n"/>
      <c r="K9" s="4" t="n"/>
      <c r="L9" s="4" t="n"/>
      <c r="M9" s="29" t="n"/>
      <c r="N9" s="29" t="n"/>
      <c r="O9" s="29" t="n"/>
      <c r="P9" s="29" t="n"/>
      <c r="Q9" s="29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/>
      <c r="BL9" s="4" t="n"/>
      <c r="BM9" s="4" t="n"/>
      <c r="BN9" s="4" t="n"/>
      <c r="BO9" s="4" t="n"/>
      <c r="BP9" s="4" t="n"/>
      <c r="BQ9" s="4" t="n"/>
      <c r="BR9" s="4" t="n"/>
      <c r="BS9" s="4" t="n"/>
      <c r="BT9" s="4" t="n"/>
      <c r="BU9" s="4" t="n"/>
      <c r="BV9" s="4" t="n"/>
      <c r="BW9" s="4" t="n"/>
      <c r="BX9" s="4" t="n"/>
      <c r="BY9" s="4" t="n"/>
      <c r="BZ9" s="4" t="n"/>
      <c r="CA9" s="4" t="n"/>
      <c r="CB9" s="4" t="n"/>
      <c r="CC9" s="4" t="n"/>
      <c r="CD9" s="4" t="n"/>
      <c r="CE9" s="4" t="n"/>
      <c r="CF9" s="4" t="n"/>
      <c r="CG9" s="4" t="n"/>
      <c r="CH9" s="4" t="n"/>
      <c r="CI9" s="4" t="n"/>
      <c r="CJ9" s="4" t="n"/>
      <c r="CK9" s="4" t="n"/>
      <c r="CL9" s="4" t="n"/>
      <c r="CM9" s="4" t="n"/>
      <c r="CN9" s="4" t="n"/>
      <c r="CO9" s="4" t="n"/>
      <c r="CP9" s="4" t="n"/>
      <c r="CQ9" s="4" t="n"/>
      <c r="CR9" s="4" t="n"/>
      <c r="CS9" s="4" t="n"/>
      <c r="CT9" s="4" t="n"/>
      <c r="CU9" s="4" t="n"/>
      <c r="CV9" s="4" t="n"/>
      <c r="CW9" s="4" t="n"/>
      <c r="CX9" s="4" t="n"/>
      <c r="CY9" s="4" t="n"/>
      <c r="CZ9" s="4" t="n"/>
      <c r="DA9" s="4" t="n"/>
      <c r="DB9" s="4" t="n"/>
      <c r="DC9" s="4" t="n"/>
      <c r="DD9" s="4" t="n"/>
      <c r="DE9" s="4" t="n"/>
      <c r="DF9" s="4" t="n"/>
      <c r="DG9" s="4" t="n"/>
      <c r="DH9" s="4" t="n"/>
      <c r="DI9" s="4" t="n"/>
      <c r="DJ9" s="4" t="n"/>
      <c r="DK9" s="4" t="n"/>
      <c r="DL9" s="4" t="n"/>
      <c r="DM9" s="4" t="n"/>
      <c r="DN9" s="4" t="n"/>
      <c r="DO9" s="4" t="n"/>
      <c r="DP9" s="4" t="n"/>
      <c r="DQ9" s="4" t="n"/>
      <c r="DR9" s="4" t="n"/>
      <c r="DS9" s="4" t="n"/>
      <c r="DT9" s="4" t="n"/>
      <c r="DU9" s="4" t="n"/>
      <c r="DV9" s="4" t="n"/>
      <c r="DW9" s="4" t="n"/>
      <c r="DX9" s="4" t="n"/>
      <c r="DY9" s="4" t="n"/>
      <c r="DZ9" s="4" t="n"/>
      <c r="EA9" s="4" t="n"/>
      <c r="EB9" s="4" t="n"/>
      <c r="EC9" s="4" t="n"/>
      <c r="ED9" s="4" t="n"/>
      <c r="EE9" s="4" t="n"/>
      <c r="EF9" s="4" t="n"/>
      <c r="EG9" s="4" t="n"/>
      <c r="EH9" s="4" t="n"/>
      <c r="EI9" s="4" t="n"/>
      <c r="EJ9" s="4" t="n"/>
      <c r="EK9" s="4" t="n"/>
    </row>
    <row r="10">
      <c r="A10" s="3" t="n"/>
      <c r="B10" s="3" t="n"/>
      <c r="C10" s="3" t="n"/>
      <c r="D10" s="3" t="n"/>
      <c r="E10" s="3" t="n"/>
      <c r="F10" s="4" t="n"/>
      <c r="G10" s="4" t="n"/>
      <c r="H10" s="4" t="n"/>
      <c r="I10" s="4" t="n"/>
      <c r="J10" s="4" t="n"/>
      <c r="K10" s="4" t="n"/>
      <c r="L10" s="4" t="n"/>
      <c r="M10" s="29" t="n"/>
      <c r="N10" s="29" t="n"/>
      <c r="O10" s="29" t="n"/>
      <c r="P10" s="29" t="n"/>
      <c r="Q10" s="29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/>
      <c r="BL10" s="4" t="n"/>
      <c r="BM10" s="4" t="n"/>
      <c r="BN10" s="4" t="n"/>
      <c r="BO10" s="4" t="n"/>
      <c r="BP10" s="4" t="n"/>
      <c r="BQ10" s="4" t="n"/>
      <c r="BR10" s="4" t="n"/>
      <c r="BS10" s="4" t="n"/>
      <c r="BT10" s="4" t="n"/>
      <c r="BU10" s="4" t="n"/>
      <c r="BV10" s="4" t="n"/>
      <c r="BW10" s="4" t="n"/>
      <c r="BX10" s="4" t="n"/>
      <c r="BY10" s="4" t="n"/>
      <c r="BZ10" s="4" t="n"/>
      <c r="CA10" s="4" t="n"/>
      <c r="CB10" s="4" t="n"/>
      <c r="CC10" s="4" t="n"/>
      <c r="CD10" s="4" t="n"/>
      <c r="CE10" s="4" t="n"/>
      <c r="CF10" s="4" t="n"/>
      <c r="CG10" s="4" t="n"/>
      <c r="CH10" s="4" t="n"/>
      <c r="CI10" s="4" t="n"/>
      <c r="CJ10" s="4" t="n"/>
      <c r="CK10" s="4" t="n"/>
      <c r="CL10" s="4" t="n"/>
      <c r="CM10" s="4" t="n"/>
      <c r="CN10" s="4" t="n"/>
      <c r="CO10" s="4" t="n"/>
      <c r="CP10" s="4" t="n"/>
      <c r="CQ10" s="4" t="n"/>
      <c r="CR10" s="4" t="n"/>
      <c r="CS10" s="4" t="n"/>
      <c r="CT10" s="4" t="n"/>
      <c r="CU10" s="4" t="n"/>
      <c r="CV10" s="4" t="n"/>
      <c r="CW10" s="4" t="n"/>
      <c r="CX10" s="4" t="n"/>
      <c r="CY10" s="4" t="n"/>
      <c r="CZ10" s="4" t="n"/>
      <c r="DA10" s="4" t="n"/>
      <c r="DB10" s="4" t="n"/>
      <c r="DC10" s="4" t="n"/>
      <c r="DD10" s="4" t="n"/>
      <c r="DE10" s="4" t="n"/>
      <c r="DF10" s="4" t="n"/>
      <c r="DG10" s="4" t="n"/>
      <c r="DH10" s="4" t="n"/>
      <c r="DI10" s="4" t="n"/>
      <c r="DJ10" s="4" t="n"/>
      <c r="DK10" s="4" t="n"/>
      <c r="DL10" s="4" t="n"/>
      <c r="DM10" s="4" t="n"/>
      <c r="DN10" s="4" t="n"/>
      <c r="DO10" s="4" t="n"/>
      <c r="DP10" s="4" t="n"/>
      <c r="DQ10" s="4" t="n"/>
      <c r="DR10" s="4" t="n"/>
      <c r="DS10" s="4" t="n"/>
      <c r="DT10" s="4" t="n"/>
      <c r="DU10" s="4" t="n"/>
      <c r="DV10" s="4" t="n"/>
      <c r="DW10" s="4" t="n"/>
      <c r="DX10" s="4" t="n"/>
      <c r="DY10" s="4" t="n"/>
      <c r="DZ10" s="4" t="n"/>
      <c r="EA10" s="4" t="n"/>
      <c r="EB10" s="4" t="n"/>
      <c r="EC10" s="4" t="n"/>
      <c r="ED10" s="4" t="n"/>
      <c r="EE10" s="4" t="n"/>
      <c r="EF10" s="4" t="n"/>
      <c r="EG10" s="4" t="n"/>
      <c r="EH10" s="4" t="n"/>
      <c r="EI10" s="4" t="n"/>
      <c r="EJ10" s="4" t="n"/>
      <c r="EK10" s="4" t="n"/>
    </row>
    <row r="11">
      <c r="A11" s="3" t="n"/>
      <c r="B11" s="3" t="n"/>
      <c r="C11" s="3" t="n"/>
      <c r="D11" s="3" t="n"/>
      <c r="E11" s="3" t="n"/>
      <c r="F11" s="4" t="n"/>
      <c r="G11" s="4" t="n"/>
      <c r="H11" s="4" t="n"/>
      <c r="I11" s="4" t="n"/>
      <c r="J11" s="4" t="n"/>
      <c r="K11" s="4" t="n"/>
      <c r="L11" s="4" t="n"/>
      <c r="M11" s="29" t="n"/>
      <c r="N11" s="29" t="n"/>
      <c r="O11" s="29" t="n"/>
      <c r="P11" s="29" t="n"/>
      <c r="Q11" s="29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/>
      <c r="BL11" s="4" t="n"/>
      <c r="BM11" s="4" t="n"/>
      <c r="BN11" s="4" t="n"/>
      <c r="BO11" s="4" t="n"/>
      <c r="BP11" s="4" t="n"/>
      <c r="BQ11" s="4" t="n"/>
      <c r="BR11" s="4" t="n"/>
      <c r="BS11" s="4" t="n"/>
      <c r="BT11" s="4" t="n"/>
      <c r="BU11" s="4" t="n"/>
      <c r="BV11" s="4" t="n"/>
      <c r="BW11" s="4" t="n"/>
      <c r="BX11" s="4" t="n"/>
      <c r="BY11" s="4" t="n"/>
      <c r="BZ11" s="4" t="n"/>
      <c r="CA11" s="4" t="n"/>
      <c r="CB11" s="4" t="n"/>
      <c r="CC11" s="4" t="n"/>
      <c r="CD11" s="4" t="n"/>
      <c r="CE11" s="4" t="n"/>
      <c r="CF11" s="4" t="n"/>
      <c r="CG11" s="4" t="n"/>
      <c r="CH11" s="4" t="n"/>
      <c r="CI11" s="4" t="n"/>
      <c r="CJ11" s="4" t="n"/>
      <c r="CK11" s="4" t="n"/>
      <c r="CL11" s="4" t="n"/>
      <c r="CM11" s="4" t="n"/>
      <c r="CN11" s="4" t="n"/>
      <c r="CO11" s="4" t="n"/>
      <c r="CP11" s="4" t="n"/>
      <c r="CQ11" s="4" t="n"/>
      <c r="CR11" s="4" t="n"/>
      <c r="CS11" s="4" t="n"/>
      <c r="CT11" s="4" t="n"/>
      <c r="CU11" s="4" t="n"/>
      <c r="CV11" s="4" t="n"/>
      <c r="CW11" s="4" t="n"/>
      <c r="CX11" s="4" t="n"/>
      <c r="CY11" s="4" t="n"/>
      <c r="CZ11" s="4" t="n"/>
      <c r="DA11" s="4" t="n"/>
      <c r="DB11" s="4" t="n"/>
      <c r="DC11" s="4" t="n"/>
      <c r="DD11" s="4" t="n"/>
      <c r="DE11" s="4" t="n"/>
      <c r="DF11" s="4" t="n"/>
      <c r="DG11" s="4" t="n"/>
      <c r="DH11" s="4" t="n"/>
      <c r="DI11" s="4" t="n"/>
      <c r="DJ11" s="4" t="n"/>
      <c r="DK11" s="4" t="n"/>
      <c r="DL11" s="4" t="n"/>
      <c r="DM11" s="4" t="n"/>
      <c r="DN11" s="4" t="n"/>
      <c r="DO11" s="4" t="n"/>
      <c r="DP11" s="4" t="n"/>
      <c r="DQ11" s="4" t="n"/>
      <c r="DR11" s="4" t="n"/>
      <c r="DS11" s="4" t="n"/>
      <c r="DT11" s="4" t="n"/>
      <c r="DU11" s="4" t="n"/>
      <c r="DV11" s="4" t="n"/>
      <c r="DW11" s="4" t="n"/>
      <c r="DX11" s="4" t="n"/>
      <c r="DY11" s="4" t="n"/>
      <c r="DZ11" s="4" t="n"/>
      <c r="EA11" s="4" t="n"/>
      <c r="EB11" s="4" t="n"/>
      <c r="EC11" s="4" t="n"/>
      <c r="ED11" s="4" t="n"/>
      <c r="EE11" s="4" t="n"/>
      <c r="EF11" s="4" t="n"/>
      <c r="EG11" s="4" t="n"/>
      <c r="EH11" s="4" t="n"/>
      <c r="EI11" s="4" t="n"/>
      <c r="EJ11" s="4" t="n"/>
      <c r="EK11" s="4" t="n"/>
    </row>
    <row r="12">
      <c r="A12" s="3" t="n"/>
      <c r="B12" s="3" t="n"/>
      <c r="C12" s="3" t="n"/>
      <c r="D12" s="3" t="n"/>
      <c r="E12" s="3" t="n"/>
      <c r="F12" s="4" t="n"/>
      <c r="G12" s="4" t="n"/>
      <c r="H12" s="4" t="n"/>
      <c r="I12" s="4" t="n"/>
      <c r="J12" s="4" t="n"/>
      <c r="K12" s="4" t="n"/>
      <c r="L12" s="4" t="n"/>
      <c r="M12" s="29" t="n"/>
      <c r="N12" s="29" t="n"/>
      <c r="O12" s="29" t="n"/>
      <c r="P12" s="29" t="n"/>
      <c r="Q12" s="29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/>
      <c r="BL12" s="4" t="n"/>
      <c r="BM12" s="4" t="n"/>
      <c r="BN12" s="4" t="n"/>
      <c r="BO12" s="4" t="n"/>
      <c r="BP12" s="4" t="n"/>
      <c r="BQ12" s="4" t="n"/>
      <c r="BR12" s="4" t="n"/>
      <c r="BS12" s="4" t="n"/>
      <c r="BT12" s="4" t="n"/>
      <c r="BU12" s="4" t="n"/>
      <c r="BV12" s="4" t="n"/>
      <c r="BW12" s="4" t="n"/>
      <c r="BX12" s="4" t="n"/>
      <c r="BY12" s="4" t="n"/>
      <c r="BZ12" s="4" t="n"/>
      <c r="CA12" s="4" t="n"/>
      <c r="CB12" s="4" t="n"/>
      <c r="CC12" s="4" t="n"/>
      <c r="CD12" s="4" t="n"/>
      <c r="CE12" s="4" t="n"/>
      <c r="CF12" s="4" t="n"/>
      <c r="CG12" s="4" t="n"/>
      <c r="CH12" s="4" t="n"/>
      <c r="CI12" s="4" t="n"/>
      <c r="CJ12" s="4" t="n"/>
      <c r="CK12" s="4" t="n"/>
      <c r="CL12" s="4" t="n"/>
      <c r="CM12" s="4" t="n"/>
      <c r="CN12" s="4" t="n"/>
      <c r="CO12" s="4" t="n"/>
      <c r="CP12" s="4" t="n"/>
      <c r="CQ12" s="4" t="n"/>
      <c r="CR12" s="4" t="n"/>
      <c r="CS12" s="4" t="n"/>
      <c r="CT12" s="4" t="n"/>
      <c r="CU12" s="4" t="n"/>
      <c r="CV12" s="4" t="n"/>
      <c r="CW12" s="4" t="n"/>
      <c r="CX12" s="4" t="n"/>
      <c r="CY12" s="4" t="n"/>
      <c r="CZ12" s="4" t="n"/>
      <c r="DA12" s="4" t="n"/>
      <c r="DB12" s="4" t="n"/>
      <c r="DC12" s="4" t="n"/>
      <c r="DD12" s="4" t="n"/>
      <c r="DE12" s="4" t="n"/>
      <c r="DF12" s="4" t="n"/>
      <c r="DG12" s="4" t="n"/>
      <c r="DH12" s="4" t="n"/>
      <c r="DI12" s="4" t="n"/>
      <c r="DJ12" s="4" t="n"/>
      <c r="DK12" s="4" t="n"/>
      <c r="DL12" s="4" t="n"/>
      <c r="DM12" s="4" t="n"/>
      <c r="DN12" s="4" t="n"/>
      <c r="DO12" s="4" t="n"/>
      <c r="DP12" s="4" t="n"/>
      <c r="DQ12" s="4" t="n"/>
      <c r="DR12" s="4" t="n"/>
      <c r="DS12" s="4" t="n"/>
      <c r="DT12" s="4" t="n"/>
      <c r="DU12" s="4" t="n"/>
      <c r="DV12" s="4" t="n"/>
      <c r="DW12" s="4" t="n"/>
      <c r="DX12" s="4" t="n"/>
      <c r="DY12" s="4" t="n"/>
      <c r="DZ12" s="4" t="n"/>
      <c r="EA12" s="4" t="n"/>
      <c r="EB12" s="4" t="n"/>
      <c r="EC12" s="4" t="n"/>
      <c r="ED12" s="4" t="n"/>
      <c r="EE12" s="4" t="n"/>
      <c r="EF12" s="4" t="n"/>
      <c r="EG12" s="4" t="n"/>
      <c r="EH12" s="4" t="n"/>
      <c r="EI12" s="4" t="n"/>
      <c r="EJ12" s="4" t="n"/>
      <c r="EK12" s="4" t="n"/>
    </row>
    <row r="13">
      <c r="A13" s="3" t="n"/>
      <c r="B13" s="3" t="n"/>
      <c r="C13" s="3" t="n"/>
      <c r="D13" s="3" t="n"/>
      <c r="E13" s="3" t="n"/>
      <c r="F13" s="4" t="n"/>
      <c r="G13" s="4" t="n"/>
      <c r="H13" s="4" t="n"/>
      <c r="I13" s="4" t="n"/>
      <c r="J13" s="4" t="n"/>
      <c r="K13" s="4" t="n"/>
      <c r="L13" s="4" t="n"/>
      <c r="M13" s="29" t="n"/>
      <c r="N13" s="29" t="n"/>
      <c r="O13" s="29" t="n"/>
      <c r="P13" s="29" t="n"/>
      <c r="Q13" s="29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/>
      <c r="BL13" s="4" t="n"/>
      <c r="BM13" s="4" t="n"/>
      <c r="BN13" s="4" t="n"/>
      <c r="BO13" s="4" t="n"/>
      <c r="BP13" s="4" t="n"/>
      <c r="BQ13" s="4" t="n"/>
      <c r="BR13" s="4" t="n"/>
      <c r="BS13" s="4" t="n"/>
      <c r="BT13" s="4" t="n"/>
      <c r="BU13" s="4" t="n"/>
      <c r="BV13" s="4" t="n"/>
      <c r="BW13" s="4" t="n"/>
      <c r="BX13" s="4" t="n"/>
      <c r="BY13" s="4" t="n"/>
      <c r="BZ13" s="4" t="n"/>
      <c r="CA13" s="4" t="n"/>
      <c r="CB13" s="4" t="n"/>
      <c r="CC13" s="4" t="n"/>
      <c r="CD13" s="4" t="n"/>
      <c r="CE13" s="4" t="n"/>
      <c r="CF13" s="4" t="n"/>
      <c r="CG13" s="4" t="n"/>
      <c r="CH13" s="4" t="n"/>
      <c r="CI13" s="4" t="n"/>
      <c r="CJ13" s="4" t="n"/>
      <c r="CK13" s="4" t="n"/>
      <c r="CL13" s="4" t="n"/>
      <c r="CM13" s="4" t="n"/>
      <c r="CN13" s="4" t="n"/>
      <c r="CO13" s="4" t="n"/>
      <c r="CP13" s="4" t="n"/>
      <c r="CQ13" s="4" t="n"/>
      <c r="CR13" s="4" t="n"/>
      <c r="CS13" s="4" t="n"/>
      <c r="CT13" s="4" t="n"/>
      <c r="CU13" s="4" t="n"/>
      <c r="CV13" s="4" t="n"/>
      <c r="CW13" s="4" t="n"/>
      <c r="CX13" s="4" t="n"/>
      <c r="CY13" s="4" t="n"/>
      <c r="CZ13" s="4" t="n"/>
      <c r="DA13" s="4" t="n"/>
      <c r="DB13" s="4" t="n"/>
      <c r="DC13" s="4" t="n"/>
      <c r="DD13" s="4" t="n"/>
      <c r="DE13" s="4" t="n"/>
      <c r="DF13" s="4" t="n"/>
      <c r="DG13" s="4" t="n"/>
      <c r="DH13" s="4" t="n"/>
      <c r="DI13" s="4" t="n"/>
      <c r="DJ13" s="4" t="n"/>
      <c r="DK13" s="4" t="n"/>
      <c r="DL13" s="4" t="n"/>
      <c r="DM13" s="4" t="n"/>
      <c r="DN13" s="4" t="n"/>
      <c r="DO13" s="4" t="n"/>
      <c r="DP13" s="4" t="n"/>
      <c r="DQ13" s="4" t="n"/>
      <c r="DR13" s="4" t="n"/>
      <c r="DS13" s="4" t="n"/>
      <c r="DT13" s="4" t="n"/>
      <c r="DU13" s="4" t="n"/>
      <c r="DV13" s="4" t="n"/>
      <c r="DW13" s="4" t="n"/>
      <c r="DX13" s="4" t="n"/>
      <c r="DY13" s="4" t="n"/>
      <c r="DZ13" s="4" t="n"/>
      <c r="EA13" s="4" t="n"/>
      <c r="EB13" s="4" t="n"/>
      <c r="EC13" s="4" t="n"/>
      <c r="ED13" s="4" t="n"/>
      <c r="EE13" s="4" t="n"/>
      <c r="EF13" s="4" t="n"/>
      <c r="EG13" s="4" t="n"/>
      <c r="EH13" s="4" t="n"/>
      <c r="EI13" s="4" t="n"/>
      <c r="EJ13" s="4" t="n"/>
      <c r="EK13" s="4" t="n"/>
    </row>
    <row r="14">
      <c r="A14" s="3" t="n"/>
      <c r="B14" s="3" t="n"/>
      <c r="C14" s="3" t="n"/>
      <c r="D14" s="3" t="n"/>
      <c r="E14" s="3" t="n"/>
      <c r="F14" s="4" t="n"/>
      <c r="G14" s="4" t="n"/>
      <c r="H14" s="4" t="n"/>
      <c r="I14" s="4" t="n"/>
      <c r="J14" s="4" t="n"/>
      <c r="K14" s="4" t="n"/>
      <c r="L14" s="4" t="n"/>
      <c r="M14" s="29" t="n"/>
      <c r="N14" s="29" t="n"/>
      <c r="O14" s="29" t="n"/>
      <c r="P14" s="29" t="n"/>
      <c r="Q14" s="29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/>
      <c r="BL14" s="4" t="n"/>
      <c r="BM14" s="4" t="n"/>
      <c r="BN14" s="4" t="n"/>
      <c r="BO14" s="4" t="n"/>
      <c r="BP14" s="4" t="n"/>
      <c r="BQ14" s="4" t="n"/>
      <c r="BR14" s="4" t="n"/>
      <c r="BS14" s="4" t="n"/>
      <c r="BT14" s="4" t="n"/>
      <c r="BU14" s="4" t="n"/>
      <c r="BV14" s="4" t="n"/>
      <c r="BW14" s="4" t="n"/>
      <c r="BX14" s="4" t="n"/>
      <c r="BY14" s="4" t="n"/>
      <c r="BZ14" s="4" t="n"/>
      <c r="CA14" s="4" t="n"/>
      <c r="CB14" s="4" t="n"/>
      <c r="CC14" s="4" t="n"/>
      <c r="CD14" s="4" t="n"/>
      <c r="CE14" s="4" t="n"/>
      <c r="CF14" s="4" t="n"/>
      <c r="CG14" s="4" t="n"/>
      <c r="CH14" s="4" t="n"/>
      <c r="CI14" s="4" t="n"/>
      <c r="CJ14" s="4" t="n"/>
      <c r="CK14" s="4" t="n"/>
      <c r="CL14" s="4" t="n"/>
      <c r="CM14" s="4" t="n"/>
      <c r="CN14" s="4" t="n"/>
      <c r="CO14" s="4" t="n"/>
      <c r="CP14" s="4" t="n"/>
      <c r="CQ14" s="4" t="n"/>
      <c r="CR14" s="4" t="n"/>
      <c r="CS14" s="4" t="n"/>
      <c r="CT14" s="4" t="n"/>
      <c r="CU14" s="4" t="n"/>
      <c r="CV14" s="4" t="n"/>
      <c r="CW14" s="4" t="n"/>
      <c r="CX14" s="4" t="n"/>
      <c r="CY14" s="4" t="n"/>
      <c r="CZ14" s="4" t="n"/>
      <c r="DA14" s="4" t="n"/>
      <c r="DB14" s="4" t="n"/>
      <c r="DC14" s="4" t="n"/>
      <c r="DD14" s="4" t="n"/>
      <c r="DE14" s="4" t="n"/>
      <c r="DF14" s="4" t="n"/>
      <c r="DG14" s="4" t="n"/>
      <c r="DH14" s="4" t="n"/>
      <c r="DI14" s="4" t="n"/>
      <c r="DJ14" s="4" t="n"/>
      <c r="DK14" s="4" t="n"/>
      <c r="DL14" s="4" t="n"/>
      <c r="DM14" s="4" t="n"/>
      <c r="DN14" s="4" t="n"/>
      <c r="DO14" s="4" t="n"/>
      <c r="DP14" s="4" t="n"/>
      <c r="DQ14" s="4" t="n"/>
      <c r="DR14" s="4" t="n"/>
      <c r="DS14" s="4" t="n"/>
      <c r="DT14" s="4" t="n"/>
      <c r="DU14" s="4" t="n"/>
      <c r="DV14" s="4" t="n"/>
      <c r="DW14" s="4" t="n"/>
      <c r="DX14" s="4" t="n"/>
      <c r="DY14" s="4" t="n"/>
      <c r="DZ14" s="4" t="n"/>
      <c r="EA14" s="4" t="n"/>
      <c r="EB14" s="4" t="n"/>
      <c r="EC14" s="4" t="n"/>
      <c r="ED14" s="4" t="n"/>
      <c r="EE14" s="4" t="n"/>
      <c r="EF14" s="4" t="n"/>
      <c r="EG14" s="4" t="n"/>
      <c r="EH14" s="4" t="n"/>
      <c r="EI14" s="4" t="n"/>
      <c r="EJ14" s="4" t="n"/>
      <c r="EK14" s="4" t="n"/>
    </row>
    <row r="15">
      <c r="A15" s="3" t="n"/>
      <c r="B15" s="3" t="n"/>
      <c r="C15" s="3" t="n"/>
      <c r="D15" s="3" t="n"/>
      <c r="E15" s="3" t="n"/>
      <c r="F15" s="4" t="n"/>
      <c r="G15" s="4" t="n"/>
      <c r="H15" s="4" t="n"/>
      <c r="I15" s="4" t="n"/>
      <c r="J15" s="4" t="n"/>
      <c r="K15" s="4" t="n"/>
      <c r="L15" s="4" t="n"/>
      <c r="M15" s="29" t="n"/>
      <c r="N15" s="29" t="n"/>
      <c r="O15" s="29" t="n"/>
      <c r="P15" s="29" t="n"/>
      <c r="Q15" s="29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/>
      <c r="BL15" s="4" t="n"/>
      <c r="BM15" s="4" t="n"/>
      <c r="BN15" s="4" t="n"/>
      <c r="BO15" s="4" t="n"/>
      <c r="BP15" s="4" t="n"/>
      <c r="BQ15" s="4" t="n"/>
      <c r="BR15" s="4" t="n"/>
      <c r="BS15" s="4" t="n"/>
      <c r="BT15" s="4" t="n"/>
      <c r="BU15" s="4" t="n"/>
      <c r="BV15" s="4" t="n"/>
      <c r="BW15" s="4" t="n"/>
      <c r="BX15" s="4" t="n"/>
      <c r="BY15" s="4" t="n"/>
      <c r="BZ15" s="4" t="n"/>
      <c r="CA15" s="4" t="n"/>
      <c r="CB15" s="4" t="n"/>
      <c r="CC15" s="4" t="n"/>
      <c r="CD15" s="4" t="n"/>
      <c r="CE15" s="4" t="n"/>
      <c r="CF15" s="4" t="n"/>
      <c r="CG15" s="4" t="n"/>
      <c r="CH15" s="4" t="n"/>
      <c r="CI15" s="4" t="n"/>
      <c r="CJ15" s="4" t="n"/>
      <c r="CK15" s="4" t="n"/>
      <c r="CL15" s="4" t="n"/>
      <c r="CM15" s="4" t="n"/>
      <c r="CN15" s="4" t="n"/>
      <c r="CO15" s="4" t="n"/>
      <c r="CP15" s="4" t="n"/>
      <c r="CQ15" s="4" t="n"/>
      <c r="CR15" s="4" t="n"/>
      <c r="CS15" s="4" t="n"/>
      <c r="CT15" s="4" t="n"/>
      <c r="CU15" s="4" t="n"/>
      <c r="CV15" s="4" t="n"/>
      <c r="CW15" s="4" t="n"/>
      <c r="CX15" s="4" t="n"/>
      <c r="CY15" s="4" t="n"/>
      <c r="CZ15" s="4" t="n"/>
      <c r="DA15" s="4" t="n"/>
      <c r="DB15" s="4" t="n"/>
      <c r="DC15" s="4" t="n"/>
      <c r="DD15" s="4" t="n"/>
      <c r="DE15" s="4" t="n"/>
      <c r="DF15" s="4" t="n"/>
      <c r="DG15" s="4" t="n"/>
      <c r="DH15" s="4" t="n"/>
      <c r="DI15" s="4" t="n"/>
      <c r="DJ15" s="4" t="n"/>
      <c r="DK15" s="4" t="n"/>
      <c r="DL15" s="4" t="n"/>
      <c r="DM15" s="4" t="n"/>
      <c r="DN15" s="4" t="n"/>
      <c r="DO15" s="4" t="n"/>
      <c r="DP15" s="4" t="n"/>
      <c r="DQ15" s="4" t="n"/>
      <c r="DR15" s="4" t="n"/>
      <c r="DS15" s="4" t="n"/>
      <c r="DT15" s="4" t="n"/>
      <c r="DU15" s="4" t="n"/>
      <c r="DV15" s="4" t="n"/>
      <c r="DW15" s="4" t="n"/>
      <c r="DX15" s="4" t="n"/>
      <c r="DY15" s="4" t="n"/>
      <c r="DZ15" s="4" t="n"/>
      <c r="EA15" s="4" t="n"/>
      <c r="EB15" s="4" t="n"/>
      <c r="EC15" s="4" t="n"/>
      <c r="ED15" s="4" t="n"/>
      <c r="EE15" s="4" t="n"/>
      <c r="EF15" s="4" t="n"/>
      <c r="EG15" s="4" t="n"/>
      <c r="EH15" s="4" t="n"/>
      <c r="EI15" s="4" t="n"/>
      <c r="EJ15" s="4" t="n"/>
      <c r="EK15" s="4" t="n"/>
    </row>
    <row r="16">
      <c r="A16" s="3" t="n"/>
      <c r="B16" s="3" t="n"/>
      <c r="C16" s="3" t="n"/>
      <c r="D16" s="3" t="n"/>
      <c r="E16" s="3" t="n"/>
      <c r="F16" s="4" t="n"/>
      <c r="G16" s="4" t="n"/>
      <c r="H16" s="4" t="n"/>
      <c r="I16" s="4" t="n"/>
      <c r="J16" s="4" t="n"/>
      <c r="K16" s="4" t="n"/>
      <c r="L16" s="4" t="n"/>
      <c r="M16" s="29" t="n"/>
      <c r="N16" s="29" t="n"/>
      <c r="O16" s="29" t="n"/>
      <c r="P16" s="29" t="n"/>
      <c r="Q16" s="29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/>
      <c r="BL16" s="4" t="n"/>
      <c r="BM16" s="4" t="n"/>
      <c r="BN16" s="4" t="n"/>
      <c r="BO16" s="4" t="n"/>
      <c r="BP16" s="4" t="n"/>
      <c r="BQ16" s="4" t="n"/>
      <c r="BR16" s="4" t="n"/>
      <c r="BS16" s="4" t="n"/>
      <c r="BT16" s="4" t="n"/>
      <c r="BU16" s="4" t="n"/>
      <c r="BV16" s="4" t="n"/>
      <c r="BW16" s="4" t="n"/>
      <c r="BX16" s="4" t="n"/>
      <c r="BY16" s="4" t="n"/>
      <c r="BZ16" s="4" t="n"/>
      <c r="CA16" s="4" t="n"/>
      <c r="CB16" s="4" t="n"/>
      <c r="CC16" s="4" t="n"/>
      <c r="CD16" s="4" t="n"/>
      <c r="CE16" s="4" t="n"/>
      <c r="CF16" s="4" t="n"/>
      <c r="CG16" s="4" t="n"/>
      <c r="CH16" s="4" t="n"/>
      <c r="CI16" s="4" t="n"/>
      <c r="CJ16" s="4" t="n"/>
      <c r="CK16" s="4" t="n"/>
      <c r="CL16" s="4" t="n"/>
      <c r="CM16" s="4" t="n"/>
      <c r="CN16" s="4" t="n"/>
      <c r="CO16" s="4" t="n"/>
      <c r="CP16" s="4" t="n"/>
      <c r="CQ16" s="4" t="n"/>
      <c r="CR16" s="4" t="n"/>
      <c r="CS16" s="4" t="n"/>
      <c r="CT16" s="4" t="n"/>
      <c r="CU16" s="4" t="n"/>
      <c r="CV16" s="4" t="n"/>
      <c r="CW16" s="4" t="n"/>
      <c r="CX16" s="4" t="n"/>
      <c r="CY16" s="4" t="n"/>
      <c r="CZ16" s="4" t="n"/>
      <c r="DA16" s="4" t="n"/>
      <c r="DB16" s="4" t="n"/>
      <c r="DC16" s="4" t="n"/>
      <c r="DD16" s="4" t="n"/>
      <c r="DE16" s="4" t="n"/>
      <c r="DF16" s="4" t="n"/>
      <c r="DG16" s="4" t="n"/>
      <c r="DH16" s="4" t="n"/>
      <c r="DI16" s="4" t="n"/>
      <c r="DJ16" s="4" t="n"/>
      <c r="DK16" s="4" t="n"/>
      <c r="DL16" s="4" t="n"/>
      <c r="DM16" s="4" t="n"/>
      <c r="DN16" s="4" t="n"/>
      <c r="DO16" s="4" t="n"/>
      <c r="DP16" s="4" t="n"/>
      <c r="DQ16" s="4" t="n"/>
      <c r="DR16" s="4" t="n"/>
      <c r="DS16" s="4" t="n"/>
      <c r="DT16" s="4" t="n"/>
      <c r="DU16" s="4" t="n"/>
      <c r="DV16" s="4" t="n"/>
      <c r="DW16" s="4" t="n"/>
      <c r="DX16" s="4" t="n"/>
      <c r="DY16" s="4" t="n"/>
      <c r="DZ16" s="4" t="n"/>
      <c r="EA16" s="4" t="n"/>
      <c r="EB16" s="4" t="n"/>
      <c r="EC16" s="4" t="n"/>
      <c r="ED16" s="4" t="n"/>
      <c r="EE16" s="4" t="n"/>
      <c r="EF16" s="4" t="n"/>
      <c r="EG16" s="4" t="n"/>
      <c r="EH16" s="4" t="n"/>
      <c r="EI16" s="4" t="n"/>
      <c r="EJ16" s="4" t="n"/>
      <c r="EK16" s="4" t="n"/>
    </row>
    <row r="17">
      <c r="A17" s="3" t="n"/>
      <c r="B17" s="3" t="n"/>
      <c r="C17" s="3" t="n"/>
      <c r="D17" s="3" t="n"/>
      <c r="E17" s="3" t="n"/>
      <c r="F17" s="4" t="n"/>
      <c r="G17" s="4" t="n"/>
      <c r="H17" s="4" t="n"/>
      <c r="I17" s="4" t="n"/>
      <c r="J17" s="4" t="n"/>
      <c r="K17" s="4" t="n"/>
      <c r="L17" s="4" t="n"/>
      <c r="M17" s="29" t="n"/>
      <c r="N17" s="29" t="n"/>
      <c r="O17" s="29" t="n"/>
      <c r="P17" s="29" t="n"/>
      <c r="Q17" s="29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/>
      <c r="BL17" s="4" t="n"/>
      <c r="BM17" s="4" t="n"/>
      <c r="BN17" s="4" t="n"/>
      <c r="BO17" s="4" t="n"/>
      <c r="BP17" s="4" t="n"/>
      <c r="BQ17" s="4" t="n"/>
      <c r="BR17" s="4" t="n"/>
      <c r="BS17" s="4" t="n"/>
      <c r="BT17" s="4" t="n"/>
      <c r="BU17" s="4" t="n"/>
      <c r="BV17" s="4" t="n"/>
      <c r="BW17" s="4" t="n"/>
      <c r="BX17" s="4" t="n"/>
      <c r="BY17" s="4" t="n"/>
      <c r="BZ17" s="4" t="n"/>
      <c r="CA17" s="4" t="n"/>
      <c r="CB17" s="4" t="n"/>
      <c r="CC17" s="4" t="n"/>
      <c r="CD17" s="4" t="n"/>
      <c r="CE17" s="4" t="n"/>
      <c r="CF17" s="4" t="n"/>
      <c r="CG17" s="4" t="n"/>
      <c r="CH17" s="4" t="n"/>
      <c r="CI17" s="4" t="n"/>
      <c r="CJ17" s="4" t="n"/>
      <c r="CK17" s="4" t="n"/>
      <c r="CL17" s="4" t="n"/>
      <c r="CM17" s="4" t="n"/>
      <c r="CN17" s="4" t="n"/>
      <c r="CO17" s="4" t="n"/>
      <c r="CP17" s="4" t="n"/>
      <c r="CQ17" s="4" t="n"/>
      <c r="CR17" s="4" t="n"/>
      <c r="CS17" s="4" t="n"/>
      <c r="CT17" s="4" t="n"/>
      <c r="CU17" s="4" t="n"/>
      <c r="CV17" s="4" t="n"/>
      <c r="CW17" s="4" t="n"/>
      <c r="CX17" s="4" t="n"/>
      <c r="CY17" s="4" t="n"/>
      <c r="CZ17" s="4" t="n"/>
      <c r="DA17" s="4" t="n"/>
      <c r="DB17" s="4" t="n"/>
      <c r="DC17" s="4" t="n"/>
      <c r="DD17" s="4" t="n"/>
      <c r="DE17" s="4" t="n"/>
      <c r="DF17" s="4" t="n"/>
      <c r="DG17" s="4" t="n"/>
      <c r="DH17" s="4" t="n"/>
      <c r="DI17" s="4" t="n"/>
      <c r="DJ17" s="4" t="n"/>
      <c r="DK17" s="4" t="n"/>
      <c r="DL17" s="4" t="n"/>
      <c r="DM17" s="4" t="n"/>
      <c r="DN17" s="4" t="n"/>
      <c r="DO17" s="4" t="n"/>
      <c r="DP17" s="4" t="n"/>
      <c r="DQ17" s="4" t="n"/>
      <c r="DR17" s="4" t="n"/>
      <c r="DS17" s="4" t="n"/>
      <c r="DT17" s="4" t="n"/>
      <c r="DU17" s="4" t="n"/>
      <c r="DV17" s="4" t="n"/>
      <c r="DW17" s="4" t="n"/>
      <c r="DX17" s="4" t="n"/>
      <c r="DY17" s="4" t="n"/>
      <c r="DZ17" s="4" t="n"/>
      <c r="EA17" s="4" t="n"/>
      <c r="EB17" s="4" t="n"/>
      <c r="EC17" s="4" t="n"/>
      <c r="ED17" s="4" t="n"/>
      <c r="EE17" s="4" t="n"/>
      <c r="EF17" s="4" t="n"/>
      <c r="EG17" s="4" t="n"/>
      <c r="EH17" s="4" t="n"/>
      <c r="EI17" s="4" t="n"/>
      <c r="EJ17" s="4" t="n"/>
      <c r="EK17" s="4" t="n"/>
    </row>
    <row r="18">
      <c r="A18" s="3" t="n"/>
      <c r="B18" s="3" t="n"/>
      <c r="C18" s="3" t="n"/>
      <c r="D18" s="3" t="n"/>
      <c r="E18" s="3" t="n"/>
      <c r="F18" s="4" t="n"/>
      <c r="G18" s="4" t="n"/>
      <c r="H18" s="4" t="n"/>
      <c r="I18" s="4" t="n"/>
      <c r="J18" s="4" t="n"/>
      <c r="K18" s="4" t="n"/>
      <c r="L18" s="4" t="n"/>
      <c r="M18" s="29" t="n"/>
      <c r="N18" s="29" t="n"/>
      <c r="O18" s="29" t="n"/>
      <c r="P18" s="29" t="n"/>
      <c r="Q18" s="29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/>
      <c r="BL18" s="4" t="n"/>
      <c r="BM18" s="4" t="n"/>
      <c r="BN18" s="4" t="n"/>
      <c r="BO18" s="4" t="n"/>
      <c r="BP18" s="4" t="n"/>
      <c r="BQ18" s="4" t="n"/>
      <c r="BR18" s="4" t="n"/>
      <c r="BS18" s="4" t="n"/>
      <c r="BT18" s="4" t="n"/>
      <c r="BU18" s="4" t="n"/>
      <c r="BV18" s="4" t="n"/>
      <c r="BW18" s="4" t="n"/>
      <c r="BX18" s="4" t="n"/>
      <c r="BY18" s="4" t="n"/>
      <c r="BZ18" s="4" t="n"/>
      <c r="CA18" s="4" t="n"/>
      <c r="CB18" s="4" t="n"/>
      <c r="CC18" s="4" t="n"/>
      <c r="CD18" s="4" t="n"/>
      <c r="CE18" s="4" t="n"/>
      <c r="CF18" s="4" t="n"/>
      <c r="CG18" s="4" t="n"/>
      <c r="CH18" s="4" t="n"/>
      <c r="CI18" s="4" t="n"/>
      <c r="CJ18" s="4" t="n"/>
      <c r="CK18" s="4" t="n"/>
      <c r="CL18" s="4" t="n"/>
      <c r="CM18" s="4" t="n"/>
      <c r="CN18" s="4" t="n"/>
      <c r="CO18" s="4" t="n"/>
      <c r="CP18" s="4" t="n"/>
      <c r="CQ18" s="4" t="n"/>
      <c r="CR18" s="4" t="n"/>
      <c r="CS18" s="4" t="n"/>
      <c r="CT18" s="4" t="n"/>
      <c r="CU18" s="4" t="n"/>
      <c r="CV18" s="4" t="n"/>
      <c r="CW18" s="4" t="n"/>
      <c r="CX18" s="4" t="n"/>
      <c r="CY18" s="4" t="n"/>
      <c r="CZ18" s="4" t="n"/>
      <c r="DA18" s="4" t="n"/>
      <c r="DB18" s="4" t="n"/>
      <c r="DC18" s="4" t="n"/>
      <c r="DD18" s="4" t="n"/>
      <c r="DE18" s="4" t="n"/>
      <c r="DF18" s="4" t="n"/>
      <c r="DG18" s="4" t="n"/>
      <c r="DH18" s="4" t="n"/>
      <c r="DI18" s="4" t="n"/>
      <c r="DJ18" s="4" t="n"/>
      <c r="DK18" s="4" t="n"/>
      <c r="DL18" s="4" t="n"/>
      <c r="DM18" s="4" t="n"/>
      <c r="DN18" s="4" t="n"/>
      <c r="DO18" s="4" t="n"/>
      <c r="DP18" s="4" t="n"/>
      <c r="DQ18" s="4" t="n"/>
      <c r="DR18" s="4" t="n"/>
      <c r="DS18" s="4" t="n"/>
      <c r="DT18" s="4" t="n"/>
      <c r="DU18" s="4" t="n"/>
      <c r="DV18" s="4" t="n"/>
      <c r="DW18" s="4" t="n"/>
      <c r="DX18" s="4" t="n"/>
      <c r="DY18" s="4" t="n"/>
      <c r="DZ18" s="4" t="n"/>
      <c r="EA18" s="4" t="n"/>
      <c r="EB18" s="4" t="n"/>
      <c r="EC18" s="4" t="n"/>
      <c r="ED18" s="4" t="n"/>
      <c r="EE18" s="4" t="n"/>
      <c r="EF18" s="4" t="n"/>
      <c r="EG18" s="4" t="n"/>
      <c r="EH18" s="4" t="n"/>
      <c r="EI18" s="4" t="n"/>
      <c r="EJ18" s="4" t="n"/>
      <c r="EK18" s="4" t="n"/>
    </row>
    <row r="19">
      <c r="A19" s="3" t="n"/>
      <c r="B19" s="3" t="n"/>
      <c r="C19" s="3" t="n"/>
      <c r="D19" s="3" t="n"/>
      <c r="E19" s="3" t="n"/>
      <c r="F19" s="4" t="n"/>
      <c r="G19" s="4" t="n"/>
      <c r="H19" s="4" t="n"/>
      <c r="I19" s="4" t="n"/>
      <c r="J19" s="4" t="n"/>
      <c r="K19" s="4" t="n"/>
      <c r="L19" s="4" t="n"/>
      <c r="M19" s="29" t="n"/>
      <c r="N19" s="29" t="n"/>
      <c r="O19" s="29" t="n"/>
      <c r="P19" s="29" t="n"/>
      <c r="Q19" s="29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/>
      <c r="BL19" s="4" t="n"/>
      <c r="BM19" s="4" t="n"/>
      <c r="BN19" s="4" t="n"/>
      <c r="BO19" s="4" t="n"/>
      <c r="BP19" s="4" t="n"/>
      <c r="BQ19" s="4" t="n"/>
      <c r="BR19" s="4" t="n"/>
      <c r="BS19" s="4" t="n"/>
      <c r="BT19" s="4" t="n"/>
      <c r="BU19" s="4" t="n"/>
      <c r="BV19" s="4" t="n"/>
      <c r="BW19" s="4" t="n"/>
      <c r="BX19" s="4" t="n"/>
      <c r="BY19" s="4" t="n"/>
      <c r="BZ19" s="4" t="n"/>
      <c r="CA19" s="4" t="n"/>
      <c r="CB19" s="4" t="n"/>
      <c r="CC19" s="4" t="n"/>
      <c r="CD19" s="4" t="n"/>
      <c r="CE19" s="4" t="n"/>
      <c r="CF19" s="4" t="n"/>
      <c r="CG19" s="4" t="n"/>
      <c r="CH19" s="4" t="n"/>
      <c r="CI19" s="4" t="n"/>
      <c r="CJ19" s="4" t="n"/>
      <c r="CK19" s="4" t="n"/>
      <c r="CL19" s="4" t="n"/>
      <c r="CM19" s="4" t="n"/>
      <c r="CN19" s="4" t="n"/>
      <c r="CO19" s="4" t="n"/>
      <c r="CP19" s="4" t="n"/>
      <c r="CQ19" s="4" t="n"/>
      <c r="CR19" s="4" t="n"/>
      <c r="CS19" s="4" t="n"/>
      <c r="CT19" s="4" t="n"/>
      <c r="CU19" s="4" t="n"/>
      <c r="CV19" s="4" t="n"/>
      <c r="CW19" s="4" t="n"/>
      <c r="CX19" s="4" t="n"/>
      <c r="CY19" s="4" t="n"/>
      <c r="CZ19" s="4" t="n"/>
      <c r="DA19" s="4" t="n"/>
      <c r="DB19" s="4" t="n"/>
      <c r="DC19" s="4" t="n"/>
      <c r="DD19" s="4" t="n"/>
      <c r="DE19" s="4" t="n"/>
      <c r="DF19" s="4" t="n"/>
      <c r="DG19" s="4" t="n"/>
      <c r="DH19" s="4" t="n"/>
      <c r="DI19" s="4" t="n"/>
      <c r="DJ19" s="4" t="n"/>
      <c r="DK19" s="4" t="n"/>
      <c r="DL19" s="4" t="n"/>
      <c r="DM19" s="4" t="n"/>
      <c r="DN19" s="4" t="n"/>
      <c r="DO19" s="4" t="n"/>
      <c r="DP19" s="4" t="n"/>
      <c r="DQ19" s="4" t="n"/>
      <c r="DR19" s="4" t="n"/>
      <c r="DS19" s="4" t="n"/>
      <c r="DT19" s="4" t="n"/>
      <c r="DU19" s="4" t="n"/>
      <c r="DV19" s="4" t="n"/>
      <c r="DW19" s="4" t="n"/>
      <c r="DX19" s="4" t="n"/>
      <c r="DY19" s="4" t="n"/>
      <c r="DZ19" s="4" t="n"/>
      <c r="EA19" s="4" t="n"/>
      <c r="EB19" s="4" t="n"/>
      <c r="EC19" s="4" t="n"/>
      <c r="ED19" s="4" t="n"/>
      <c r="EE19" s="4" t="n"/>
      <c r="EF19" s="4" t="n"/>
      <c r="EG19" s="4" t="n"/>
      <c r="EH19" s="4" t="n"/>
      <c r="EI19" s="4" t="n"/>
      <c r="EJ19" s="4" t="n"/>
      <c r="EK19" s="4" t="n"/>
    </row>
    <row r="20">
      <c r="A20" s="3" t="n"/>
      <c r="B20" s="3" t="n"/>
      <c r="C20" s="3" t="n"/>
      <c r="D20" s="3" t="n"/>
      <c r="E20" s="3" t="n"/>
      <c r="F20" s="4" t="n"/>
      <c r="G20" s="4" t="n"/>
      <c r="H20" s="4" t="n"/>
      <c r="I20" s="4" t="n"/>
      <c r="J20" s="4" t="n"/>
      <c r="K20" s="4" t="n"/>
      <c r="L20" s="4" t="n"/>
      <c r="M20" s="29" t="n"/>
      <c r="N20" s="29" t="n"/>
      <c r="O20" s="29" t="n"/>
      <c r="P20" s="29" t="n"/>
      <c r="Q20" s="29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/>
      <c r="BL20" s="4" t="n"/>
      <c r="BM20" s="4" t="n"/>
      <c r="BN20" s="4" t="n"/>
      <c r="BO20" s="4" t="n"/>
      <c r="BP20" s="4" t="n"/>
      <c r="BQ20" s="4" t="n"/>
      <c r="BR20" s="4" t="n"/>
      <c r="BS20" s="4" t="n"/>
      <c r="BT20" s="4" t="n"/>
      <c r="BU20" s="4" t="n"/>
      <c r="BV20" s="4" t="n"/>
      <c r="BW20" s="4" t="n"/>
      <c r="BX20" s="4" t="n"/>
      <c r="BY20" s="4" t="n"/>
      <c r="BZ20" s="4" t="n"/>
      <c r="CA20" s="4" t="n"/>
      <c r="CB20" s="4" t="n"/>
      <c r="CC20" s="4" t="n"/>
      <c r="CD20" s="4" t="n"/>
      <c r="CE20" s="4" t="n"/>
      <c r="CF20" s="4" t="n"/>
      <c r="CG20" s="4" t="n"/>
      <c r="CH20" s="4" t="n"/>
      <c r="CI20" s="4" t="n"/>
      <c r="CJ20" s="4" t="n"/>
      <c r="CK20" s="4" t="n"/>
      <c r="CL20" s="4" t="n"/>
      <c r="CM20" s="4" t="n"/>
      <c r="CN20" s="4" t="n"/>
      <c r="CO20" s="4" t="n"/>
      <c r="CP20" s="4" t="n"/>
      <c r="CQ20" s="4" t="n"/>
      <c r="CR20" s="4" t="n"/>
      <c r="CS20" s="4" t="n"/>
      <c r="CT20" s="4" t="n"/>
      <c r="CU20" s="4" t="n"/>
      <c r="CV20" s="4" t="n"/>
      <c r="CW20" s="4" t="n"/>
      <c r="CX20" s="4" t="n"/>
      <c r="CY20" s="4" t="n"/>
      <c r="CZ20" s="4" t="n"/>
      <c r="DA20" s="4" t="n"/>
      <c r="DB20" s="4" t="n"/>
      <c r="DC20" s="4" t="n"/>
      <c r="DD20" s="4" t="n"/>
      <c r="DE20" s="4" t="n"/>
      <c r="DF20" s="4" t="n"/>
      <c r="DG20" s="4" t="n"/>
      <c r="DH20" s="4" t="n"/>
      <c r="DI20" s="4" t="n"/>
      <c r="DJ20" s="4" t="n"/>
      <c r="DK20" s="4" t="n"/>
      <c r="DL20" s="4" t="n"/>
      <c r="DM20" s="4" t="n"/>
      <c r="DN20" s="4" t="n"/>
      <c r="DO20" s="4" t="n"/>
      <c r="DP20" s="4" t="n"/>
      <c r="DQ20" s="4" t="n"/>
      <c r="DR20" s="4" t="n"/>
      <c r="DS20" s="4" t="n"/>
      <c r="DT20" s="4" t="n"/>
      <c r="DU20" s="4" t="n"/>
      <c r="DV20" s="4" t="n"/>
      <c r="DW20" s="4" t="n"/>
      <c r="DX20" s="4" t="n"/>
      <c r="DY20" s="4" t="n"/>
      <c r="DZ20" s="4" t="n"/>
      <c r="EA20" s="4" t="n"/>
      <c r="EB20" s="4" t="n"/>
      <c r="EC20" s="4" t="n"/>
      <c r="ED20" s="4" t="n"/>
      <c r="EE20" s="4" t="n"/>
      <c r="EF20" s="4" t="n"/>
      <c r="EG20" s="4" t="n"/>
      <c r="EH20" s="4" t="n"/>
      <c r="EI20" s="4" t="n"/>
      <c r="EJ20" s="4" t="n"/>
      <c r="EK20" s="4" t="n"/>
    </row>
    <row r="21">
      <c r="A21" s="3" t="n"/>
      <c r="B21" s="3" t="n"/>
      <c r="C21" s="3" t="n"/>
      <c r="D21" s="3" t="n"/>
      <c r="E21" s="3" t="n"/>
      <c r="F21" s="4" t="n"/>
      <c r="G21" s="4" t="n"/>
      <c r="H21" s="4" t="n"/>
      <c r="I21" s="4" t="n"/>
      <c r="J21" s="4" t="n"/>
      <c r="K21" s="4" t="n"/>
      <c r="L21" s="4" t="n"/>
      <c r="M21" s="29" t="n"/>
      <c r="N21" s="29" t="n"/>
      <c r="O21" s="29" t="n"/>
      <c r="P21" s="29" t="n"/>
      <c r="Q21" s="29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/>
      <c r="BL21" s="4" t="n"/>
      <c r="BM21" s="4" t="n"/>
      <c r="BN21" s="4" t="n"/>
      <c r="BO21" s="4" t="n"/>
      <c r="BP21" s="4" t="n"/>
      <c r="BQ21" s="4" t="n"/>
      <c r="BR21" s="4" t="n"/>
      <c r="BS21" s="4" t="n"/>
      <c r="BT21" s="4" t="n"/>
      <c r="BU21" s="4" t="n"/>
      <c r="BV21" s="4" t="n"/>
      <c r="BW21" s="4" t="n"/>
      <c r="BX21" s="4" t="n"/>
      <c r="BY21" s="4" t="n"/>
      <c r="BZ21" s="4" t="n"/>
      <c r="CA21" s="4" t="n"/>
      <c r="CB21" s="4" t="n"/>
      <c r="CC21" s="4" t="n"/>
      <c r="CD21" s="4" t="n"/>
      <c r="CE21" s="4" t="n"/>
      <c r="CF21" s="4" t="n"/>
      <c r="CG21" s="4" t="n"/>
      <c r="CH21" s="4" t="n"/>
      <c r="CI21" s="4" t="n"/>
      <c r="CJ21" s="4" t="n"/>
      <c r="CK21" s="4" t="n"/>
      <c r="CL21" s="4" t="n"/>
      <c r="CM21" s="4" t="n"/>
      <c r="CN21" s="4" t="n"/>
      <c r="CO21" s="4" t="n"/>
      <c r="CP21" s="4" t="n"/>
      <c r="CQ21" s="4" t="n"/>
      <c r="CR21" s="4" t="n"/>
      <c r="CS21" s="4" t="n"/>
      <c r="CT21" s="4" t="n"/>
      <c r="CU21" s="4" t="n"/>
      <c r="CV21" s="4" t="n"/>
      <c r="CW21" s="4" t="n"/>
      <c r="CX21" s="4" t="n"/>
      <c r="CY21" s="4" t="n"/>
      <c r="CZ21" s="4" t="n"/>
      <c r="DA21" s="4" t="n"/>
      <c r="DB21" s="4" t="n"/>
      <c r="DC21" s="4" t="n"/>
      <c r="DD21" s="4" t="n"/>
      <c r="DE21" s="4" t="n"/>
      <c r="DF21" s="4" t="n"/>
      <c r="DG21" s="4" t="n"/>
      <c r="DH21" s="4" t="n"/>
      <c r="DI21" s="4" t="n"/>
      <c r="DJ21" s="4" t="n"/>
      <c r="DK21" s="4" t="n"/>
      <c r="DL21" s="4" t="n"/>
      <c r="DM21" s="4" t="n"/>
      <c r="DN21" s="4" t="n"/>
      <c r="DO21" s="4" t="n"/>
      <c r="DP21" s="4" t="n"/>
      <c r="DQ21" s="4" t="n"/>
      <c r="DR21" s="4" t="n"/>
      <c r="DS21" s="4" t="n"/>
      <c r="DT21" s="4" t="n"/>
      <c r="DU21" s="4" t="n"/>
      <c r="DV21" s="4" t="n"/>
      <c r="DW21" s="4" t="n"/>
      <c r="DX21" s="4" t="n"/>
      <c r="DY21" s="4" t="n"/>
      <c r="DZ21" s="4" t="n"/>
      <c r="EA21" s="4" t="n"/>
      <c r="EB21" s="4" t="n"/>
      <c r="EC21" s="4" t="n"/>
      <c r="ED21" s="4" t="n"/>
      <c r="EE21" s="4" t="n"/>
      <c r="EF21" s="4" t="n"/>
      <c r="EG21" s="4" t="n"/>
      <c r="EH21" s="4" t="n"/>
      <c r="EI21" s="4" t="n"/>
      <c r="EJ21" s="4" t="n"/>
      <c r="EK21" s="4" t="n"/>
    </row>
    <row r="22">
      <c r="A22" s="3" t="n"/>
      <c r="B22" s="3" t="n"/>
      <c r="C22" s="3" t="n"/>
      <c r="D22" s="3" t="n"/>
      <c r="E22" s="3" t="n"/>
      <c r="F22" s="4" t="n"/>
      <c r="G22" s="4" t="n"/>
      <c r="H22" s="4" t="n"/>
      <c r="I22" s="4" t="n"/>
      <c r="J22" s="4" t="n"/>
      <c r="K22" s="4" t="n"/>
      <c r="L22" s="4" t="n"/>
      <c r="M22" s="29" t="n"/>
      <c r="N22" s="29" t="n"/>
      <c r="O22" s="29" t="n"/>
      <c r="P22" s="29" t="n"/>
      <c r="Q22" s="29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/>
      <c r="BL22" s="4" t="n"/>
      <c r="BM22" s="4" t="n"/>
      <c r="BN22" s="4" t="n"/>
      <c r="BO22" s="4" t="n"/>
      <c r="BP22" s="4" t="n"/>
      <c r="BQ22" s="4" t="n"/>
      <c r="BR22" s="4" t="n"/>
      <c r="BS22" s="4" t="n"/>
      <c r="BT22" s="4" t="n"/>
      <c r="BU22" s="4" t="n"/>
      <c r="BV22" s="4" t="n"/>
      <c r="BW22" s="4" t="n"/>
      <c r="BX22" s="4" t="n"/>
      <c r="BY22" s="4" t="n"/>
      <c r="BZ22" s="4" t="n"/>
      <c r="CA22" s="4" t="n"/>
      <c r="CB22" s="4" t="n"/>
      <c r="CC22" s="4" t="n"/>
      <c r="CD22" s="4" t="n"/>
      <c r="CE22" s="4" t="n"/>
      <c r="CF22" s="4" t="n"/>
      <c r="CG22" s="4" t="n"/>
      <c r="CH22" s="4" t="n"/>
      <c r="CI22" s="4" t="n"/>
      <c r="CJ22" s="4" t="n"/>
      <c r="CK22" s="4" t="n"/>
      <c r="CL22" s="4" t="n"/>
      <c r="CM22" s="4" t="n"/>
      <c r="CN22" s="4" t="n"/>
      <c r="CO22" s="4" t="n"/>
      <c r="CP22" s="4" t="n"/>
      <c r="CQ22" s="4" t="n"/>
      <c r="CR22" s="4" t="n"/>
      <c r="CS22" s="4" t="n"/>
      <c r="CT22" s="4" t="n"/>
      <c r="CU22" s="4" t="n"/>
      <c r="CV22" s="4" t="n"/>
      <c r="CW22" s="4" t="n"/>
      <c r="CX22" s="4" t="n"/>
      <c r="CY22" s="4" t="n"/>
      <c r="CZ22" s="4" t="n"/>
      <c r="DA22" s="4" t="n"/>
      <c r="DB22" s="4" t="n"/>
      <c r="DC22" s="4" t="n"/>
      <c r="DD22" s="4" t="n"/>
      <c r="DE22" s="4" t="n"/>
      <c r="DF22" s="4" t="n"/>
      <c r="DG22" s="4" t="n"/>
      <c r="DH22" s="4" t="n"/>
      <c r="DI22" s="4" t="n"/>
      <c r="DJ22" s="4" t="n"/>
      <c r="DK22" s="4" t="n"/>
      <c r="DL22" s="4" t="n"/>
      <c r="DM22" s="4" t="n"/>
      <c r="DN22" s="4" t="n"/>
      <c r="DO22" s="4" t="n"/>
      <c r="DP22" s="4" t="n"/>
      <c r="DQ22" s="4" t="n"/>
      <c r="DR22" s="4" t="n"/>
      <c r="DS22" s="4" t="n"/>
      <c r="DT22" s="4" t="n"/>
      <c r="DU22" s="4" t="n"/>
      <c r="DV22" s="4" t="n"/>
      <c r="DW22" s="4" t="n"/>
      <c r="DX22" s="4" t="n"/>
      <c r="DY22" s="4" t="n"/>
      <c r="DZ22" s="4" t="n"/>
      <c r="EA22" s="4" t="n"/>
      <c r="EB22" s="4" t="n"/>
      <c r="EC22" s="4" t="n"/>
      <c r="ED22" s="4" t="n"/>
      <c r="EE22" s="4" t="n"/>
      <c r="EF22" s="4" t="n"/>
      <c r="EG22" s="4" t="n"/>
      <c r="EH22" s="4" t="n"/>
      <c r="EI22" s="4" t="n"/>
      <c r="EJ22" s="4" t="n"/>
      <c r="EK22" s="4" t="n"/>
    </row>
    <row r="23">
      <c r="A23" s="3" t="n"/>
      <c r="B23" s="3" t="n"/>
      <c r="C23" s="3" t="n"/>
      <c r="D23" s="3" t="n"/>
      <c r="E23" s="3" t="n"/>
      <c r="F23" s="4" t="n"/>
      <c r="G23" s="4" t="n"/>
      <c r="H23" s="4" t="n"/>
      <c r="I23" s="4" t="n"/>
      <c r="J23" s="4" t="n"/>
      <c r="K23" s="4" t="n"/>
      <c r="L23" s="4" t="n"/>
      <c r="M23" s="29" t="n"/>
      <c r="N23" s="29" t="n"/>
      <c r="O23" s="29" t="n"/>
      <c r="P23" s="29" t="n"/>
      <c r="Q23" s="29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/>
      <c r="BL23" s="4" t="n"/>
      <c r="BM23" s="4" t="n"/>
      <c r="BN23" s="4" t="n"/>
      <c r="BO23" s="4" t="n"/>
      <c r="BP23" s="4" t="n"/>
      <c r="BQ23" s="4" t="n"/>
      <c r="BR23" s="4" t="n"/>
      <c r="BS23" s="4" t="n"/>
      <c r="BT23" s="4" t="n"/>
      <c r="BU23" s="4" t="n"/>
      <c r="BV23" s="4" t="n"/>
      <c r="BW23" s="4" t="n"/>
      <c r="BX23" s="4" t="n"/>
      <c r="BY23" s="4" t="n"/>
      <c r="BZ23" s="4" t="n"/>
      <c r="CA23" s="4" t="n"/>
      <c r="CB23" s="4" t="n"/>
      <c r="CC23" s="4" t="n"/>
      <c r="CD23" s="4" t="n"/>
      <c r="CE23" s="4" t="n"/>
      <c r="CF23" s="4" t="n"/>
      <c r="CG23" s="4" t="n"/>
      <c r="CH23" s="4" t="n"/>
      <c r="CI23" s="4" t="n"/>
      <c r="CJ23" s="4" t="n"/>
      <c r="CK23" s="4" t="n"/>
      <c r="CL23" s="4" t="n"/>
      <c r="CM23" s="4" t="n"/>
      <c r="CN23" s="4" t="n"/>
      <c r="CO23" s="4" t="n"/>
      <c r="CP23" s="4" t="n"/>
      <c r="CQ23" s="4" t="n"/>
      <c r="CR23" s="4" t="n"/>
      <c r="CS23" s="4" t="n"/>
      <c r="CT23" s="4" t="n"/>
      <c r="CU23" s="4" t="n"/>
      <c r="CV23" s="4" t="n"/>
      <c r="CW23" s="4" t="n"/>
      <c r="CX23" s="4" t="n"/>
      <c r="CY23" s="4" t="n"/>
      <c r="CZ23" s="4" t="n"/>
      <c r="DA23" s="4" t="n"/>
      <c r="DB23" s="4" t="n"/>
      <c r="DC23" s="4" t="n"/>
      <c r="DD23" s="4" t="n"/>
      <c r="DE23" s="4" t="n"/>
      <c r="DF23" s="4" t="n"/>
      <c r="DG23" s="4" t="n"/>
      <c r="DH23" s="4" t="n"/>
      <c r="DI23" s="4" t="n"/>
      <c r="DJ23" s="4" t="n"/>
      <c r="DK23" s="4" t="n"/>
      <c r="DL23" s="4" t="n"/>
      <c r="DM23" s="4" t="n"/>
      <c r="DN23" s="4" t="n"/>
      <c r="DO23" s="4" t="n"/>
      <c r="DP23" s="4" t="n"/>
      <c r="DQ23" s="4" t="n"/>
      <c r="DR23" s="4" t="n"/>
      <c r="DS23" s="4" t="n"/>
      <c r="DT23" s="4" t="n"/>
      <c r="DU23" s="4" t="n"/>
      <c r="DV23" s="4" t="n"/>
      <c r="DW23" s="4" t="n"/>
      <c r="DX23" s="4" t="n"/>
      <c r="DY23" s="4" t="n"/>
      <c r="DZ23" s="4" t="n"/>
      <c r="EA23" s="4" t="n"/>
      <c r="EB23" s="4" t="n"/>
      <c r="EC23" s="4" t="n"/>
      <c r="ED23" s="4" t="n"/>
      <c r="EE23" s="4" t="n"/>
      <c r="EF23" s="4" t="n"/>
      <c r="EG23" s="4" t="n"/>
      <c r="EH23" s="4" t="n"/>
      <c r="EI23" s="4" t="n"/>
      <c r="EJ23" s="4" t="n"/>
      <c r="EK23" s="4" t="n"/>
    </row>
    <row r="24">
      <c r="A24" s="3" t="n"/>
      <c r="B24" s="3" t="n"/>
      <c r="C24" s="3" t="n"/>
      <c r="D24" s="3" t="n"/>
      <c r="E24" s="3" t="n"/>
      <c r="F24" s="4" t="n"/>
      <c r="G24" s="4" t="n"/>
      <c r="H24" s="4" t="n"/>
      <c r="I24" s="4" t="n"/>
      <c r="J24" s="4" t="n"/>
      <c r="K24" s="4" t="n"/>
      <c r="L24" s="4" t="n"/>
      <c r="M24" s="29" t="n"/>
      <c r="N24" s="29" t="n"/>
      <c r="O24" s="29" t="n"/>
      <c r="P24" s="29" t="n"/>
      <c r="Q24" s="29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/>
      <c r="BL24" s="4" t="n"/>
      <c r="BM24" s="4" t="n"/>
      <c r="BN24" s="4" t="n"/>
      <c r="BO24" s="4" t="n"/>
      <c r="BP24" s="4" t="n"/>
      <c r="BQ24" s="4" t="n"/>
      <c r="BR24" s="4" t="n"/>
      <c r="BS24" s="4" t="n"/>
      <c r="BT24" s="4" t="n"/>
      <c r="BU24" s="4" t="n"/>
      <c r="BV24" s="4" t="n"/>
      <c r="BW24" s="4" t="n"/>
      <c r="BX24" s="4" t="n"/>
      <c r="BY24" s="4" t="n"/>
      <c r="BZ24" s="4" t="n"/>
      <c r="CA24" s="4" t="n"/>
      <c r="CB24" s="4" t="n"/>
      <c r="CC24" s="4" t="n"/>
      <c r="CD24" s="4" t="n"/>
      <c r="CE24" s="4" t="n"/>
      <c r="CF24" s="4" t="n"/>
      <c r="CG24" s="4" t="n"/>
      <c r="CH24" s="4" t="n"/>
      <c r="CI24" s="4" t="n"/>
      <c r="CJ24" s="4" t="n"/>
      <c r="CK24" s="4" t="n"/>
      <c r="CL24" s="4" t="n"/>
      <c r="CM24" s="4" t="n"/>
      <c r="CN24" s="4" t="n"/>
      <c r="CO24" s="4" t="n"/>
      <c r="CP24" s="4" t="n"/>
      <c r="CQ24" s="4" t="n"/>
      <c r="CR24" s="4" t="n"/>
      <c r="CS24" s="4" t="n"/>
      <c r="CT24" s="4" t="n"/>
      <c r="CU24" s="4" t="n"/>
      <c r="CV24" s="4" t="n"/>
      <c r="CW24" s="4" t="n"/>
      <c r="CX24" s="4" t="n"/>
      <c r="CY24" s="4" t="n"/>
      <c r="CZ24" s="4" t="n"/>
      <c r="DA24" s="4" t="n"/>
      <c r="DB24" s="4" t="n"/>
      <c r="DC24" s="4" t="n"/>
      <c r="DD24" s="4" t="n"/>
      <c r="DE24" s="4" t="n"/>
      <c r="DF24" s="4" t="n"/>
      <c r="DG24" s="4" t="n"/>
      <c r="DH24" s="4" t="n"/>
      <c r="DI24" s="4" t="n"/>
      <c r="DJ24" s="4" t="n"/>
      <c r="DK24" s="4" t="n"/>
      <c r="DL24" s="4" t="n"/>
      <c r="DM24" s="4" t="n"/>
      <c r="DN24" s="4" t="n"/>
      <c r="DO24" s="4" t="n"/>
      <c r="DP24" s="4" t="n"/>
      <c r="DQ24" s="4" t="n"/>
      <c r="DR24" s="4" t="n"/>
      <c r="DS24" s="4" t="n"/>
      <c r="DT24" s="4" t="n"/>
      <c r="DU24" s="4" t="n"/>
      <c r="DV24" s="4" t="n"/>
      <c r="DW24" s="4" t="n"/>
      <c r="DX24" s="4" t="n"/>
      <c r="DY24" s="4" t="n"/>
      <c r="DZ24" s="4" t="n"/>
      <c r="EA24" s="4" t="n"/>
      <c r="EB24" s="4" t="n"/>
      <c r="EC24" s="4" t="n"/>
      <c r="ED24" s="4" t="n"/>
      <c r="EE24" s="4" t="n"/>
      <c r="EF24" s="4" t="n"/>
      <c r="EG24" s="4" t="n"/>
      <c r="EH24" s="4" t="n"/>
      <c r="EI24" s="4" t="n"/>
      <c r="EJ24" s="4" t="n"/>
      <c r="EK24" s="4" t="n"/>
    </row>
    <row r="25">
      <c r="A25" s="3" t="n"/>
      <c r="B25" s="3" t="n"/>
      <c r="C25" s="3" t="n"/>
      <c r="D25" s="3" t="n"/>
      <c r="E25" s="3" t="n"/>
      <c r="F25" s="4" t="n"/>
      <c r="G25" s="4" t="n"/>
      <c r="H25" s="4" t="n"/>
      <c r="I25" s="4" t="n"/>
      <c r="J25" s="4" t="n"/>
      <c r="K25" s="4" t="n"/>
      <c r="L25" s="4" t="n"/>
      <c r="M25" s="29" t="n"/>
      <c r="N25" s="29" t="n"/>
      <c r="O25" s="29" t="n"/>
      <c r="P25" s="29" t="n"/>
      <c r="Q25" s="29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/>
      <c r="BL25" s="4" t="n"/>
      <c r="BM25" s="4" t="n"/>
      <c r="BN25" s="4" t="n"/>
      <c r="BO25" s="4" t="n"/>
      <c r="BP25" s="4" t="n"/>
      <c r="BQ25" s="4" t="n"/>
      <c r="BR25" s="4" t="n"/>
      <c r="BS25" s="4" t="n"/>
      <c r="BT25" s="4" t="n"/>
      <c r="BU25" s="4" t="n"/>
      <c r="BV25" s="4" t="n"/>
      <c r="BW25" s="4" t="n"/>
      <c r="BX25" s="4" t="n"/>
      <c r="BY25" s="4" t="n"/>
      <c r="BZ25" s="4" t="n"/>
      <c r="CA25" s="4" t="n"/>
      <c r="CB25" s="4" t="n"/>
      <c r="CC25" s="4" t="n"/>
      <c r="CD25" s="4" t="n"/>
      <c r="CE25" s="4" t="n"/>
      <c r="CF25" s="4" t="n"/>
      <c r="CG25" s="4" t="n"/>
      <c r="CH25" s="4" t="n"/>
      <c r="CI25" s="4" t="n"/>
      <c r="CJ25" s="4" t="n"/>
      <c r="CK25" s="4" t="n"/>
      <c r="CL25" s="4" t="n"/>
      <c r="CM25" s="4" t="n"/>
      <c r="CN25" s="4" t="n"/>
      <c r="CO25" s="4" t="n"/>
      <c r="CP25" s="4" t="n"/>
      <c r="CQ25" s="4" t="n"/>
      <c r="CR25" s="4" t="n"/>
      <c r="CS25" s="4" t="n"/>
      <c r="CT25" s="4" t="n"/>
      <c r="CU25" s="4" t="n"/>
      <c r="CV25" s="4" t="n"/>
      <c r="CW25" s="4" t="n"/>
      <c r="CX25" s="4" t="n"/>
      <c r="CY25" s="4" t="n"/>
      <c r="CZ25" s="4" t="n"/>
      <c r="DA25" s="4" t="n"/>
      <c r="DB25" s="4" t="n"/>
      <c r="DC25" s="4" t="n"/>
      <c r="DD25" s="4" t="n"/>
      <c r="DE25" s="4" t="n"/>
      <c r="DF25" s="4" t="n"/>
      <c r="DG25" s="4" t="n"/>
      <c r="DH25" s="4" t="n"/>
      <c r="DI25" s="4" t="n"/>
      <c r="DJ25" s="4" t="n"/>
      <c r="DK25" s="4" t="n"/>
      <c r="DL25" s="4" t="n"/>
      <c r="DM25" s="4" t="n"/>
      <c r="DN25" s="4" t="n"/>
      <c r="DO25" s="4" t="n"/>
      <c r="DP25" s="4" t="n"/>
      <c r="DQ25" s="4" t="n"/>
      <c r="DR25" s="4" t="n"/>
      <c r="DS25" s="4" t="n"/>
      <c r="DT25" s="4" t="n"/>
      <c r="DU25" s="4" t="n"/>
      <c r="DV25" s="4" t="n"/>
      <c r="DW25" s="4" t="n"/>
      <c r="DX25" s="4" t="n"/>
      <c r="DY25" s="4" t="n"/>
      <c r="DZ25" s="4" t="n"/>
      <c r="EA25" s="4" t="n"/>
      <c r="EB25" s="4" t="n"/>
      <c r="EC25" s="4" t="n"/>
      <c r="ED25" s="4" t="n"/>
      <c r="EE25" s="4" t="n"/>
      <c r="EF25" s="4" t="n"/>
      <c r="EG25" s="4" t="n"/>
      <c r="EH25" s="4" t="n"/>
      <c r="EI25" s="4" t="n"/>
      <c r="EJ25" s="4" t="n"/>
      <c r="EK25" s="4" t="n"/>
    </row>
    <row r="26">
      <c r="A26" s="3" t="n"/>
      <c r="B26" s="3" t="n"/>
      <c r="C26" s="3" t="n"/>
      <c r="D26" s="3" t="n"/>
      <c r="E26" s="3" t="n"/>
      <c r="F26" s="4" t="n"/>
      <c r="G26" s="4" t="n"/>
      <c r="H26" s="4" t="n"/>
      <c r="I26" s="4" t="n"/>
      <c r="J26" s="4" t="n"/>
      <c r="K26" s="4" t="n"/>
      <c r="L26" s="4" t="n"/>
      <c r="M26" s="29" t="n"/>
      <c r="N26" s="29" t="n"/>
      <c r="O26" s="29" t="n"/>
      <c r="P26" s="29" t="n"/>
      <c r="Q26" s="29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/>
      <c r="BL26" s="4" t="n"/>
      <c r="BM26" s="4" t="n"/>
      <c r="BN26" s="4" t="n"/>
      <c r="BO26" s="4" t="n"/>
      <c r="BP26" s="4" t="n"/>
      <c r="BQ26" s="4" t="n"/>
      <c r="BR26" s="4" t="n"/>
      <c r="BS26" s="4" t="n"/>
      <c r="BT26" s="4" t="n"/>
      <c r="BU26" s="4" t="n"/>
      <c r="BV26" s="4" t="n"/>
      <c r="BW26" s="4" t="n"/>
      <c r="BX26" s="4" t="n"/>
      <c r="BY26" s="4" t="n"/>
      <c r="BZ26" s="4" t="n"/>
      <c r="CA26" s="4" t="n"/>
      <c r="CB26" s="4" t="n"/>
      <c r="CC26" s="4" t="n"/>
      <c r="CD26" s="4" t="n"/>
      <c r="CE26" s="4" t="n"/>
      <c r="CF26" s="4" t="n"/>
      <c r="CG26" s="4" t="n"/>
      <c r="CH26" s="4" t="n"/>
      <c r="CI26" s="4" t="n"/>
      <c r="CJ26" s="4" t="n"/>
      <c r="CK26" s="4" t="n"/>
      <c r="CL26" s="4" t="n"/>
      <c r="CM26" s="4" t="n"/>
      <c r="CN26" s="4" t="n"/>
      <c r="CO26" s="4" t="n"/>
      <c r="CP26" s="4" t="n"/>
      <c r="CQ26" s="4" t="n"/>
      <c r="CR26" s="4" t="n"/>
      <c r="CS26" s="4" t="n"/>
      <c r="CT26" s="4" t="n"/>
      <c r="CU26" s="4" t="n"/>
      <c r="CV26" s="4" t="n"/>
      <c r="CW26" s="4" t="n"/>
      <c r="CX26" s="4" t="n"/>
      <c r="CY26" s="4" t="n"/>
      <c r="CZ26" s="4" t="n"/>
      <c r="DA26" s="4" t="n"/>
      <c r="DB26" s="4" t="n"/>
      <c r="DC26" s="4" t="n"/>
      <c r="DD26" s="4" t="n"/>
      <c r="DE26" s="4" t="n"/>
      <c r="DF26" s="4" t="n"/>
      <c r="DG26" s="4" t="n"/>
      <c r="DH26" s="4" t="n"/>
      <c r="DI26" s="4" t="n"/>
      <c r="DJ26" s="4" t="n"/>
      <c r="DK26" s="4" t="n"/>
      <c r="DL26" s="4" t="n"/>
      <c r="DM26" s="4" t="n"/>
      <c r="DN26" s="4" t="n"/>
      <c r="DO26" s="4" t="n"/>
      <c r="DP26" s="4" t="n"/>
      <c r="DQ26" s="4" t="n"/>
      <c r="DR26" s="4" t="n"/>
      <c r="DS26" s="4" t="n"/>
      <c r="DT26" s="4" t="n"/>
      <c r="DU26" s="4" t="n"/>
      <c r="DV26" s="4" t="n"/>
      <c r="DW26" s="4" t="n"/>
      <c r="DX26" s="4" t="n"/>
      <c r="DY26" s="4" t="n"/>
      <c r="DZ26" s="4" t="n"/>
      <c r="EA26" s="4" t="n"/>
      <c r="EB26" s="4" t="n"/>
      <c r="EC26" s="4" t="n"/>
      <c r="ED26" s="4" t="n"/>
      <c r="EE26" s="4" t="n"/>
      <c r="EF26" s="4" t="n"/>
      <c r="EG26" s="4" t="n"/>
      <c r="EH26" s="4" t="n"/>
      <c r="EI26" s="4" t="n"/>
      <c r="EJ26" s="4" t="n"/>
      <c r="EK26" s="4" t="n"/>
    </row>
    <row r="27">
      <c r="A27" s="3" t="n"/>
      <c r="B27" s="3" t="n"/>
      <c r="C27" s="3" t="n"/>
      <c r="D27" s="3" t="n"/>
      <c r="E27" s="3" t="n"/>
      <c r="F27" s="4" t="n"/>
      <c r="G27" s="4" t="n"/>
      <c r="H27" s="4" t="n"/>
      <c r="I27" s="4" t="n"/>
      <c r="J27" s="4" t="n"/>
      <c r="K27" s="4" t="n"/>
      <c r="L27" s="4" t="n"/>
      <c r="M27" s="29" t="n"/>
      <c r="N27" s="29" t="n"/>
      <c r="O27" s="29" t="n"/>
      <c r="P27" s="29" t="n"/>
      <c r="Q27" s="29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/>
      <c r="BL27" s="4" t="n"/>
      <c r="BM27" s="4" t="n"/>
      <c r="BN27" s="4" t="n"/>
      <c r="BO27" s="4" t="n"/>
      <c r="BP27" s="4" t="n"/>
      <c r="BQ27" s="4" t="n"/>
      <c r="BR27" s="4" t="n"/>
      <c r="BS27" s="4" t="n"/>
      <c r="BT27" s="4" t="n"/>
      <c r="BU27" s="4" t="n"/>
      <c r="BV27" s="4" t="n"/>
      <c r="BW27" s="4" t="n"/>
      <c r="BX27" s="4" t="n"/>
      <c r="BY27" s="4" t="n"/>
      <c r="BZ27" s="4" t="n"/>
      <c r="CA27" s="4" t="n"/>
      <c r="CB27" s="4" t="n"/>
      <c r="CC27" s="4" t="n"/>
      <c r="CD27" s="4" t="n"/>
      <c r="CE27" s="4" t="n"/>
      <c r="CF27" s="4" t="n"/>
      <c r="CG27" s="4" t="n"/>
      <c r="CH27" s="4" t="n"/>
      <c r="CI27" s="4" t="n"/>
      <c r="CJ27" s="4" t="n"/>
      <c r="CK27" s="4" t="n"/>
      <c r="CL27" s="4" t="n"/>
      <c r="CM27" s="4" t="n"/>
      <c r="CN27" s="4" t="n"/>
      <c r="CO27" s="4" t="n"/>
      <c r="CP27" s="4" t="n"/>
      <c r="CQ27" s="4" t="n"/>
      <c r="CR27" s="4" t="n"/>
      <c r="CS27" s="4" t="n"/>
      <c r="CT27" s="4" t="n"/>
      <c r="CU27" s="4" t="n"/>
      <c r="CV27" s="4" t="n"/>
      <c r="CW27" s="4" t="n"/>
      <c r="CX27" s="4" t="n"/>
      <c r="CY27" s="4" t="n"/>
      <c r="CZ27" s="4" t="n"/>
      <c r="DA27" s="4" t="n"/>
      <c r="DB27" s="4" t="n"/>
      <c r="DC27" s="4" t="n"/>
      <c r="DD27" s="4" t="n"/>
      <c r="DE27" s="4" t="n"/>
      <c r="DF27" s="4" t="n"/>
      <c r="DG27" s="4" t="n"/>
      <c r="DH27" s="4" t="n"/>
      <c r="DI27" s="4" t="n"/>
      <c r="DJ27" s="4" t="n"/>
      <c r="DK27" s="4" t="n"/>
      <c r="DL27" s="4" t="n"/>
      <c r="DM27" s="4" t="n"/>
      <c r="DN27" s="4" t="n"/>
      <c r="DO27" s="4" t="n"/>
      <c r="DP27" s="4" t="n"/>
      <c r="DQ27" s="4" t="n"/>
      <c r="DR27" s="4" t="n"/>
      <c r="DS27" s="4" t="n"/>
      <c r="DT27" s="4" t="n"/>
      <c r="DU27" s="4" t="n"/>
      <c r="DV27" s="4" t="n"/>
      <c r="DW27" s="4" t="n"/>
      <c r="DX27" s="4" t="n"/>
      <c r="DY27" s="4" t="n"/>
      <c r="DZ27" s="4" t="n"/>
      <c r="EA27" s="4" t="n"/>
      <c r="EB27" s="4" t="n"/>
      <c r="EC27" s="4" t="n"/>
      <c r="ED27" s="4" t="n"/>
      <c r="EE27" s="4" t="n"/>
      <c r="EF27" s="4" t="n"/>
      <c r="EG27" s="4" t="n"/>
      <c r="EH27" s="4" t="n"/>
      <c r="EI27" s="4" t="n"/>
      <c r="EJ27" s="4" t="n"/>
      <c r="EK27" s="4" t="n"/>
    </row>
    <row r="28">
      <c r="A28" s="3" t="n"/>
      <c r="B28" s="3" t="n"/>
      <c r="C28" s="3" t="n"/>
      <c r="D28" s="3" t="n"/>
      <c r="E28" s="3" t="n"/>
      <c r="F28" s="4" t="n"/>
      <c r="G28" s="4" t="n"/>
      <c r="H28" s="4" t="n"/>
      <c r="I28" s="4" t="n"/>
      <c r="J28" s="4" t="n"/>
      <c r="K28" s="4" t="n"/>
      <c r="L28" s="4" t="n"/>
      <c r="M28" s="29" t="n"/>
      <c r="N28" s="29" t="n"/>
      <c r="O28" s="29" t="n"/>
      <c r="P28" s="29" t="n"/>
      <c r="Q28" s="29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/>
      <c r="BL28" s="4" t="n"/>
      <c r="BM28" s="4" t="n"/>
      <c r="BN28" s="4" t="n"/>
      <c r="BO28" s="4" t="n"/>
      <c r="BP28" s="4" t="n"/>
      <c r="BQ28" s="4" t="n"/>
      <c r="BR28" s="4" t="n"/>
      <c r="BS28" s="4" t="n"/>
      <c r="BT28" s="4" t="n"/>
      <c r="BU28" s="4" t="n"/>
      <c r="BV28" s="4" t="n"/>
      <c r="BW28" s="4" t="n"/>
      <c r="BX28" s="4" t="n"/>
      <c r="BY28" s="4" t="n"/>
      <c r="BZ28" s="4" t="n"/>
      <c r="CA28" s="4" t="n"/>
      <c r="CB28" s="4" t="n"/>
      <c r="CC28" s="4" t="n"/>
      <c r="CD28" s="4" t="n"/>
      <c r="CE28" s="4" t="n"/>
      <c r="CF28" s="4" t="n"/>
      <c r="CG28" s="4" t="n"/>
      <c r="CH28" s="4" t="n"/>
      <c r="CI28" s="4" t="n"/>
      <c r="CJ28" s="4" t="n"/>
      <c r="CK28" s="4" t="n"/>
      <c r="CL28" s="4" t="n"/>
      <c r="CM28" s="4" t="n"/>
      <c r="CN28" s="4" t="n"/>
      <c r="CO28" s="4" t="n"/>
      <c r="CP28" s="4" t="n"/>
      <c r="CQ28" s="4" t="n"/>
      <c r="CR28" s="4" t="n"/>
      <c r="CS28" s="4" t="n"/>
      <c r="CT28" s="4" t="n"/>
      <c r="CU28" s="4" t="n"/>
      <c r="CV28" s="4" t="n"/>
      <c r="CW28" s="4" t="n"/>
      <c r="CX28" s="4" t="n"/>
      <c r="CY28" s="4" t="n"/>
      <c r="CZ28" s="4" t="n"/>
      <c r="DA28" s="4" t="n"/>
      <c r="DB28" s="4" t="n"/>
      <c r="DC28" s="4" t="n"/>
      <c r="DD28" s="4" t="n"/>
      <c r="DE28" s="4" t="n"/>
      <c r="DF28" s="4" t="n"/>
      <c r="DG28" s="4" t="n"/>
      <c r="DH28" s="4" t="n"/>
      <c r="DI28" s="4" t="n"/>
      <c r="DJ28" s="4" t="n"/>
      <c r="DK28" s="4" t="n"/>
      <c r="DL28" s="4" t="n"/>
      <c r="DM28" s="4" t="n"/>
      <c r="DN28" s="4" t="n"/>
      <c r="DO28" s="4" t="n"/>
      <c r="DP28" s="4" t="n"/>
      <c r="DQ28" s="4" t="n"/>
      <c r="DR28" s="4" t="n"/>
      <c r="DS28" s="4" t="n"/>
      <c r="DT28" s="4" t="n"/>
      <c r="DU28" s="4" t="n"/>
      <c r="DV28" s="4" t="n"/>
      <c r="DW28" s="4" t="n"/>
      <c r="DX28" s="4" t="n"/>
      <c r="DY28" s="4" t="n"/>
      <c r="DZ28" s="4" t="n"/>
      <c r="EA28" s="4" t="n"/>
      <c r="EB28" s="4" t="n"/>
      <c r="EC28" s="4" t="n"/>
      <c r="ED28" s="4" t="n"/>
      <c r="EE28" s="4" t="n"/>
      <c r="EF28" s="4" t="n"/>
      <c r="EG28" s="4" t="n"/>
      <c r="EH28" s="4" t="n"/>
      <c r="EI28" s="4" t="n"/>
      <c r="EJ28" s="4" t="n"/>
      <c r="EK28" s="4" t="n"/>
    </row>
    <row r="29">
      <c r="A29" s="3" t="n"/>
      <c r="B29" s="3" t="n"/>
      <c r="C29" s="3" t="n"/>
      <c r="D29" s="3" t="n"/>
      <c r="E29" s="3" t="n"/>
      <c r="F29" s="4" t="n"/>
      <c r="G29" s="4" t="n"/>
      <c r="H29" s="4" t="n"/>
      <c r="I29" s="4" t="n"/>
      <c r="J29" s="4" t="n"/>
      <c r="K29" s="4" t="n"/>
      <c r="L29" s="4" t="n"/>
      <c r="M29" s="29" t="n"/>
      <c r="N29" s="29" t="n"/>
      <c r="O29" s="29" t="n"/>
      <c r="P29" s="29" t="n"/>
      <c r="Q29" s="29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</row>
    <row r="30">
      <c r="A30" s="3" t="n"/>
      <c r="B30" s="3" t="n"/>
      <c r="C30" s="3" t="n"/>
      <c r="D30" s="3" t="n"/>
      <c r="E30" s="3" t="n"/>
      <c r="F30" s="4" t="n"/>
      <c r="G30" s="4" t="n"/>
      <c r="H30" s="4" t="n"/>
      <c r="I30" s="4" t="n"/>
      <c r="J30" s="4" t="n"/>
      <c r="K30" s="4" t="n"/>
      <c r="L30" s="4" t="n"/>
      <c r="M30" s="29" t="n"/>
      <c r="N30" s="29" t="n"/>
      <c r="O30" s="29" t="n"/>
      <c r="P30" s="29" t="n"/>
      <c r="Q30" s="29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/>
      <c r="BL30" s="4" t="n"/>
      <c r="BM30" s="4" t="n"/>
      <c r="BN30" s="4" t="n"/>
      <c r="BO30" s="4" t="n"/>
      <c r="BP30" s="4" t="n"/>
      <c r="BQ30" s="4" t="n"/>
      <c r="BR30" s="4" t="n"/>
      <c r="BS30" s="4" t="n"/>
      <c r="BT30" s="4" t="n"/>
      <c r="BU30" s="4" t="n"/>
      <c r="BV30" s="4" t="n"/>
      <c r="BW30" s="4" t="n"/>
      <c r="BX30" s="4" t="n"/>
      <c r="BY30" s="4" t="n"/>
      <c r="BZ30" s="4" t="n"/>
      <c r="CA30" s="4" t="n"/>
      <c r="CB30" s="4" t="n"/>
      <c r="CC30" s="4" t="n"/>
      <c r="CD30" s="4" t="n"/>
      <c r="CE30" s="4" t="n"/>
      <c r="CF30" s="4" t="n"/>
      <c r="CG30" s="4" t="n"/>
      <c r="CH30" s="4" t="n"/>
      <c r="CI30" s="4" t="n"/>
      <c r="CJ30" s="4" t="n"/>
      <c r="CK30" s="4" t="n"/>
      <c r="CL30" s="4" t="n"/>
      <c r="CM30" s="4" t="n"/>
      <c r="CN30" s="4" t="n"/>
      <c r="CO30" s="4" t="n"/>
      <c r="CP30" s="4" t="n"/>
      <c r="CQ30" s="4" t="n"/>
      <c r="CR30" s="4" t="n"/>
      <c r="CS30" s="4" t="n"/>
      <c r="CT30" s="4" t="n"/>
      <c r="CU30" s="4" t="n"/>
      <c r="CV30" s="4" t="n"/>
      <c r="CW30" s="4" t="n"/>
      <c r="CX30" s="4" t="n"/>
      <c r="CY30" s="4" t="n"/>
      <c r="CZ30" s="4" t="n"/>
      <c r="DA30" s="4" t="n"/>
      <c r="DB30" s="4" t="n"/>
      <c r="DC30" s="4" t="n"/>
      <c r="DD30" s="4" t="n"/>
      <c r="DE30" s="4" t="n"/>
      <c r="DF30" s="4" t="n"/>
      <c r="DG30" s="4" t="n"/>
      <c r="DH30" s="4" t="n"/>
      <c r="DI30" s="4" t="n"/>
      <c r="DJ30" s="4" t="n"/>
      <c r="DK30" s="4" t="n"/>
      <c r="DL30" s="4" t="n"/>
      <c r="DM30" s="4" t="n"/>
      <c r="DN30" s="4" t="n"/>
      <c r="DO30" s="4" t="n"/>
      <c r="DP30" s="4" t="n"/>
      <c r="DQ30" s="4" t="n"/>
      <c r="DR30" s="4" t="n"/>
      <c r="DS30" s="4" t="n"/>
      <c r="DT30" s="4" t="n"/>
      <c r="DU30" s="4" t="n"/>
      <c r="DV30" s="4" t="n"/>
      <c r="DW30" s="4" t="n"/>
      <c r="DX30" s="4" t="n"/>
      <c r="DY30" s="4" t="n"/>
      <c r="DZ30" s="4" t="n"/>
      <c r="EA30" s="4" t="n"/>
      <c r="EB30" s="4" t="n"/>
      <c r="EC30" s="4" t="n"/>
      <c r="ED30" s="4" t="n"/>
      <c r="EE30" s="4" t="n"/>
      <c r="EF30" s="4" t="n"/>
      <c r="EG30" s="4" t="n"/>
      <c r="EH30" s="4" t="n"/>
      <c r="EI30" s="4" t="n"/>
      <c r="EJ30" s="4" t="n"/>
      <c r="EK30" s="4" t="n"/>
    </row>
    <row r="31">
      <c r="A31" s="3" t="n"/>
      <c r="B31" s="3" t="n"/>
      <c r="C31" s="3" t="n"/>
      <c r="D31" s="3" t="n"/>
      <c r="E31" s="3" t="n"/>
      <c r="F31" s="4" t="n"/>
      <c r="G31" s="4" t="n"/>
      <c r="H31" s="4" t="n"/>
      <c r="I31" s="4" t="n"/>
      <c r="J31" s="4" t="n"/>
      <c r="K31" s="4" t="n"/>
      <c r="L31" s="4" t="n"/>
      <c r="M31" s="29" t="n"/>
      <c r="N31" s="29" t="n"/>
      <c r="O31" s="29" t="n"/>
      <c r="P31" s="29" t="n"/>
      <c r="Q31" s="29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/>
      <c r="BL31" s="4" t="n"/>
      <c r="BM31" s="4" t="n"/>
      <c r="BN31" s="4" t="n"/>
      <c r="BO31" s="4" t="n"/>
      <c r="BP31" s="4" t="n"/>
      <c r="BQ31" s="4" t="n"/>
      <c r="BR31" s="4" t="n"/>
      <c r="BS31" s="4" t="n"/>
      <c r="BT31" s="4" t="n"/>
      <c r="BU31" s="4" t="n"/>
      <c r="BV31" s="4" t="n"/>
      <c r="BW31" s="4" t="n"/>
      <c r="BX31" s="4" t="n"/>
      <c r="BY31" s="4" t="n"/>
      <c r="BZ31" s="4" t="n"/>
      <c r="CA31" s="4" t="n"/>
      <c r="CB31" s="4" t="n"/>
      <c r="CC31" s="4" t="n"/>
      <c r="CD31" s="4" t="n"/>
      <c r="CE31" s="4" t="n"/>
      <c r="CF31" s="4" t="n"/>
      <c r="CG31" s="4" t="n"/>
      <c r="CH31" s="4" t="n"/>
      <c r="CI31" s="4" t="n"/>
      <c r="CJ31" s="4" t="n"/>
      <c r="CK31" s="4" t="n"/>
      <c r="CL31" s="4" t="n"/>
      <c r="CM31" s="4" t="n"/>
      <c r="CN31" s="4" t="n"/>
      <c r="CO31" s="4" t="n"/>
      <c r="CP31" s="4" t="n"/>
      <c r="CQ31" s="4" t="n"/>
      <c r="CR31" s="4" t="n"/>
      <c r="CS31" s="4" t="n"/>
      <c r="CT31" s="4" t="n"/>
      <c r="CU31" s="4" t="n"/>
      <c r="CV31" s="4" t="n"/>
      <c r="CW31" s="4" t="n"/>
      <c r="CX31" s="4" t="n"/>
      <c r="CY31" s="4" t="n"/>
      <c r="CZ31" s="4" t="n"/>
      <c r="DA31" s="4" t="n"/>
      <c r="DB31" s="4" t="n"/>
      <c r="DC31" s="4" t="n"/>
      <c r="DD31" s="4" t="n"/>
      <c r="DE31" s="4" t="n"/>
      <c r="DF31" s="4" t="n"/>
      <c r="DG31" s="4" t="n"/>
      <c r="DH31" s="4" t="n"/>
      <c r="DI31" s="4" t="n"/>
      <c r="DJ31" s="4" t="n"/>
      <c r="DK31" s="4" t="n"/>
      <c r="DL31" s="4" t="n"/>
      <c r="DM31" s="4" t="n"/>
      <c r="DN31" s="4" t="n"/>
      <c r="DO31" s="4" t="n"/>
      <c r="DP31" s="4" t="n"/>
      <c r="DQ31" s="4" t="n"/>
      <c r="DR31" s="4" t="n"/>
      <c r="DS31" s="4" t="n"/>
      <c r="DT31" s="4" t="n"/>
      <c r="DU31" s="4" t="n"/>
      <c r="DV31" s="4" t="n"/>
      <c r="DW31" s="4" t="n"/>
      <c r="DX31" s="4" t="n"/>
      <c r="DY31" s="4" t="n"/>
      <c r="DZ31" s="4" t="n"/>
      <c r="EA31" s="4" t="n"/>
      <c r="EB31" s="4" t="n"/>
      <c r="EC31" s="4" t="n"/>
      <c r="ED31" s="4" t="n"/>
      <c r="EE31" s="4" t="n"/>
      <c r="EF31" s="4" t="n"/>
      <c r="EG31" s="4" t="n"/>
      <c r="EH31" s="4" t="n"/>
      <c r="EI31" s="4" t="n"/>
      <c r="EJ31" s="4" t="n"/>
      <c r="EK31" s="4" t="n"/>
    </row>
    <row r="32">
      <c r="A32" s="3" t="n"/>
      <c r="B32" s="3" t="n"/>
      <c r="C32" s="3" t="n"/>
      <c r="D32" s="3" t="n"/>
      <c r="E32" s="3" t="n"/>
      <c r="F32" s="4" t="n"/>
      <c r="G32" s="4" t="n"/>
      <c r="H32" s="4" t="n"/>
      <c r="I32" s="4" t="n"/>
      <c r="J32" s="4" t="n"/>
      <c r="K32" s="4" t="n"/>
      <c r="L32" s="4" t="n"/>
      <c r="M32" s="29" t="n"/>
      <c r="N32" s="29" t="n"/>
      <c r="O32" s="29" t="n"/>
      <c r="P32" s="29" t="n"/>
      <c r="Q32" s="29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/>
      <c r="BL32" s="4" t="n"/>
      <c r="BM32" s="4" t="n"/>
      <c r="BN32" s="4" t="n"/>
      <c r="BO32" s="4" t="n"/>
      <c r="BP32" s="4" t="n"/>
      <c r="BQ32" s="4" t="n"/>
      <c r="BR32" s="4" t="n"/>
      <c r="BS32" s="4" t="n"/>
      <c r="BT32" s="4" t="n"/>
      <c r="BU32" s="4" t="n"/>
      <c r="BV32" s="4" t="n"/>
      <c r="BW32" s="4" t="n"/>
      <c r="BX32" s="4" t="n"/>
      <c r="BY32" s="4" t="n"/>
      <c r="BZ32" s="4" t="n"/>
      <c r="CA32" s="4" t="n"/>
      <c r="CB32" s="4" t="n"/>
      <c r="CC32" s="4" t="n"/>
      <c r="CD32" s="4" t="n"/>
      <c r="CE32" s="4" t="n"/>
      <c r="CF32" s="4" t="n"/>
      <c r="CG32" s="4" t="n"/>
      <c r="CH32" s="4" t="n"/>
      <c r="CI32" s="4" t="n"/>
      <c r="CJ32" s="4" t="n"/>
      <c r="CK32" s="4" t="n"/>
      <c r="CL32" s="4" t="n"/>
      <c r="CM32" s="4" t="n"/>
      <c r="CN32" s="4" t="n"/>
      <c r="CO32" s="4" t="n"/>
      <c r="CP32" s="4" t="n"/>
      <c r="CQ32" s="4" t="n"/>
      <c r="CR32" s="4" t="n"/>
      <c r="CS32" s="4" t="n"/>
      <c r="CT32" s="4" t="n"/>
      <c r="CU32" s="4" t="n"/>
      <c r="CV32" s="4" t="n"/>
      <c r="CW32" s="4" t="n"/>
      <c r="CX32" s="4" t="n"/>
      <c r="CY32" s="4" t="n"/>
      <c r="CZ32" s="4" t="n"/>
      <c r="DA32" s="4" t="n"/>
      <c r="DB32" s="4" t="n"/>
      <c r="DC32" s="4" t="n"/>
      <c r="DD32" s="4" t="n"/>
      <c r="DE32" s="4" t="n"/>
      <c r="DF32" s="4" t="n"/>
      <c r="DG32" s="4" t="n"/>
      <c r="DH32" s="4" t="n"/>
      <c r="DI32" s="4" t="n"/>
      <c r="DJ32" s="4" t="n"/>
      <c r="DK32" s="4" t="n"/>
      <c r="DL32" s="4" t="n"/>
      <c r="DM32" s="4" t="n"/>
      <c r="DN32" s="4" t="n"/>
      <c r="DO32" s="4" t="n"/>
      <c r="DP32" s="4" t="n"/>
      <c r="DQ32" s="4" t="n"/>
      <c r="DR32" s="4" t="n"/>
      <c r="DS32" s="4" t="n"/>
      <c r="DT32" s="4" t="n"/>
      <c r="DU32" s="4" t="n"/>
      <c r="DV32" s="4" t="n"/>
      <c r="DW32" s="4" t="n"/>
      <c r="DX32" s="4" t="n"/>
      <c r="DY32" s="4" t="n"/>
      <c r="DZ32" s="4" t="n"/>
      <c r="EA32" s="4" t="n"/>
      <c r="EB32" s="4" t="n"/>
      <c r="EC32" s="4" t="n"/>
      <c r="ED32" s="4" t="n"/>
      <c r="EE32" s="4" t="n"/>
      <c r="EF32" s="4" t="n"/>
      <c r="EG32" s="4" t="n"/>
      <c r="EH32" s="4" t="n"/>
      <c r="EI32" s="4" t="n"/>
      <c r="EJ32" s="4" t="n"/>
      <c r="EK32" s="4" t="n"/>
    </row>
    <row r="33">
      <c r="A33" s="3" t="n"/>
      <c r="B33" s="3" t="n"/>
      <c r="C33" s="3" t="n"/>
      <c r="D33" s="3" t="n"/>
      <c r="E33" s="3" t="n"/>
      <c r="F33" s="4" t="n"/>
      <c r="G33" s="4" t="n"/>
      <c r="H33" s="4" t="n"/>
      <c r="I33" s="4" t="n"/>
      <c r="J33" s="4" t="n"/>
      <c r="K33" s="4" t="n"/>
      <c r="L33" s="4" t="n"/>
      <c r="M33" s="29" t="n"/>
      <c r="N33" s="29" t="n"/>
      <c r="O33" s="29" t="n"/>
      <c r="P33" s="29" t="n"/>
      <c r="Q33" s="29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4" t="n"/>
      <c r="CY33" s="4" t="n"/>
      <c r="CZ33" s="4" t="n"/>
      <c r="DA33" s="4" t="n"/>
      <c r="DB33" s="4" t="n"/>
      <c r="DC33" s="4" t="n"/>
      <c r="DD33" s="4" t="n"/>
      <c r="DE33" s="4" t="n"/>
      <c r="DF33" s="4" t="n"/>
      <c r="DG33" s="4" t="n"/>
      <c r="DH33" s="4" t="n"/>
      <c r="DI33" s="4" t="n"/>
      <c r="DJ33" s="4" t="n"/>
      <c r="DK33" s="4" t="n"/>
      <c r="DL33" s="4" t="n"/>
      <c r="DM33" s="4" t="n"/>
      <c r="DN33" s="4" t="n"/>
      <c r="DO33" s="4" t="n"/>
      <c r="DP33" s="4" t="n"/>
      <c r="DQ33" s="4" t="n"/>
      <c r="DR33" s="4" t="n"/>
      <c r="DS33" s="4" t="n"/>
      <c r="DT33" s="4" t="n"/>
      <c r="DU33" s="4" t="n"/>
      <c r="DV33" s="4" t="n"/>
      <c r="DW33" s="4" t="n"/>
      <c r="DX33" s="4" t="n"/>
      <c r="DY33" s="4" t="n"/>
      <c r="DZ33" s="4" t="n"/>
      <c r="EA33" s="4" t="n"/>
      <c r="EB33" s="4" t="n"/>
      <c r="EC33" s="4" t="n"/>
      <c r="ED33" s="4" t="n"/>
      <c r="EE33" s="4" t="n"/>
      <c r="EF33" s="4" t="n"/>
      <c r="EG33" s="4" t="n"/>
      <c r="EH33" s="4" t="n"/>
      <c r="EI33" s="4" t="n"/>
      <c r="EJ33" s="4" t="n"/>
      <c r="EK33" s="4" t="n"/>
    </row>
    <row r="34">
      <c r="A34" s="3" t="n"/>
      <c r="B34" s="3" t="n"/>
      <c r="C34" s="3" t="n"/>
      <c r="D34" s="3" t="n"/>
      <c r="E34" s="3" t="n"/>
      <c r="F34" s="4" t="n"/>
      <c r="G34" s="4" t="n"/>
      <c r="H34" s="4" t="n"/>
      <c r="I34" s="4" t="n"/>
      <c r="J34" s="4" t="n"/>
      <c r="K34" s="4" t="n"/>
      <c r="L34" s="4" t="n"/>
      <c r="M34" s="29" t="n"/>
      <c r="N34" s="29" t="n"/>
      <c r="O34" s="29" t="n"/>
      <c r="P34" s="29" t="n"/>
      <c r="Q34" s="29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4" t="n"/>
      <c r="CY34" s="4" t="n"/>
      <c r="CZ34" s="4" t="n"/>
      <c r="DA34" s="4" t="n"/>
      <c r="DB34" s="4" t="n"/>
      <c r="DC34" s="4" t="n"/>
      <c r="DD34" s="4" t="n"/>
      <c r="DE34" s="4" t="n"/>
      <c r="DF34" s="4" t="n"/>
      <c r="DG34" s="4" t="n"/>
      <c r="DH34" s="4" t="n"/>
      <c r="DI34" s="4" t="n"/>
      <c r="DJ34" s="4" t="n"/>
      <c r="DK34" s="4" t="n"/>
      <c r="DL34" s="4" t="n"/>
      <c r="DM34" s="4" t="n"/>
      <c r="DN34" s="4" t="n"/>
      <c r="DO34" s="4" t="n"/>
      <c r="DP34" s="4" t="n"/>
      <c r="DQ34" s="4" t="n"/>
      <c r="DR34" s="4" t="n"/>
      <c r="DS34" s="4" t="n"/>
      <c r="DT34" s="4" t="n"/>
      <c r="DU34" s="4" t="n"/>
      <c r="DV34" s="4" t="n"/>
      <c r="DW34" s="4" t="n"/>
      <c r="DX34" s="4" t="n"/>
      <c r="DY34" s="4" t="n"/>
      <c r="DZ34" s="4" t="n"/>
      <c r="EA34" s="4" t="n"/>
      <c r="EB34" s="4" t="n"/>
      <c r="EC34" s="4" t="n"/>
      <c r="ED34" s="4" t="n"/>
      <c r="EE34" s="4" t="n"/>
      <c r="EF34" s="4" t="n"/>
      <c r="EG34" s="4" t="n"/>
      <c r="EH34" s="4" t="n"/>
      <c r="EI34" s="4" t="n"/>
      <c r="EJ34" s="4" t="n"/>
      <c r="EK34" s="4" t="n"/>
    </row>
    <row r="35">
      <c r="A35" s="3" t="n"/>
      <c r="B35" s="3" t="n"/>
      <c r="C35" s="3" t="n"/>
      <c r="D35" s="3" t="n"/>
      <c r="E35" s="3" t="n"/>
      <c r="F35" s="4" t="n"/>
      <c r="G35" s="4" t="n"/>
      <c r="H35" s="4" t="n"/>
      <c r="I35" s="4" t="n"/>
      <c r="J35" s="4" t="n"/>
      <c r="K35" s="4" t="n"/>
      <c r="L35" s="4" t="n"/>
      <c r="M35" s="29" t="n"/>
      <c r="N35" s="29" t="n"/>
      <c r="O35" s="29" t="n"/>
      <c r="P35" s="29" t="n"/>
      <c r="Q35" s="29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4" t="n"/>
      <c r="CY35" s="4" t="n"/>
      <c r="CZ35" s="4" t="n"/>
      <c r="DA35" s="4" t="n"/>
      <c r="DB35" s="4" t="n"/>
      <c r="DC35" s="4" t="n"/>
      <c r="DD35" s="4" t="n"/>
      <c r="DE35" s="4" t="n"/>
      <c r="DF35" s="4" t="n"/>
      <c r="DG35" s="4" t="n"/>
      <c r="DH35" s="4" t="n"/>
      <c r="DI35" s="4" t="n"/>
      <c r="DJ35" s="4" t="n"/>
      <c r="DK35" s="4" t="n"/>
      <c r="DL35" s="4" t="n"/>
      <c r="DM35" s="4" t="n"/>
      <c r="DN35" s="4" t="n"/>
      <c r="DO35" s="4" t="n"/>
      <c r="DP35" s="4" t="n"/>
      <c r="DQ35" s="4" t="n"/>
      <c r="DR35" s="4" t="n"/>
      <c r="DS35" s="4" t="n"/>
      <c r="DT35" s="4" t="n"/>
      <c r="DU35" s="4" t="n"/>
      <c r="DV35" s="4" t="n"/>
      <c r="DW35" s="4" t="n"/>
      <c r="DX35" s="4" t="n"/>
      <c r="DY35" s="4" t="n"/>
      <c r="DZ35" s="4" t="n"/>
      <c r="EA35" s="4" t="n"/>
      <c r="EB35" s="4" t="n"/>
      <c r="EC35" s="4" t="n"/>
      <c r="ED35" s="4" t="n"/>
      <c r="EE35" s="4" t="n"/>
      <c r="EF35" s="4" t="n"/>
      <c r="EG35" s="4" t="n"/>
      <c r="EH35" s="4" t="n"/>
      <c r="EI35" s="4" t="n"/>
      <c r="EJ35" s="4" t="n"/>
      <c r="EK35" s="4" t="n"/>
    </row>
    <row r="36">
      <c r="A36" s="3" t="n"/>
      <c r="B36" s="3" t="n"/>
      <c r="C36" s="3" t="n"/>
      <c r="D36" s="3" t="n"/>
      <c r="E36" s="3" t="n"/>
      <c r="F36" s="4" t="n"/>
      <c r="G36" s="4" t="n"/>
      <c r="H36" s="4" t="n"/>
      <c r="I36" s="4" t="n"/>
      <c r="J36" s="4" t="n"/>
      <c r="K36" s="4" t="n"/>
      <c r="L36" s="4" t="n"/>
      <c r="M36" s="29" t="n"/>
      <c r="N36" s="29" t="n"/>
      <c r="O36" s="29" t="n"/>
      <c r="P36" s="29" t="n"/>
      <c r="Q36" s="29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4" t="n"/>
      <c r="CY36" s="4" t="n"/>
      <c r="CZ36" s="4" t="n"/>
      <c r="DA36" s="4" t="n"/>
      <c r="DB36" s="4" t="n"/>
      <c r="DC36" s="4" t="n"/>
      <c r="DD36" s="4" t="n"/>
      <c r="DE36" s="4" t="n"/>
      <c r="DF36" s="4" t="n"/>
      <c r="DG36" s="4" t="n"/>
      <c r="DH36" s="4" t="n"/>
      <c r="DI36" s="4" t="n"/>
      <c r="DJ36" s="4" t="n"/>
      <c r="DK36" s="4" t="n"/>
      <c r="DL36" s="4" t="n"/>
      <c r="DM36" s="4" t="n"/>
      <c r="DN36" s="4" t="n"/>
      <c r="DO36" s="4" t="n"/>
      <c r="DP36" s="4" t="n"/>
      <c r="DQ36" s="4" t="n"/>
      <c r="DR36" s="4" t="n"/>
      <c r="DS36" s="4" t="n"/>
      <c r="DT36" s="4" t="n"/>
      <c r="DU36" s="4" t="n"/>
      <c r="DV36" s="4" t="n"/>
      <c r="DW36" s="4" t="n"/>
      <c r="DX36" s="4" t="n"/>
      <c r="DY36" s="4" t="n"/>
      <c r="DZ36" s="4" t="n"/>
      <c r="EA36" s="4" t="n"/>
      <c r="EB36" s="4" t="n"/>
      <c r="EC36" s="4" t="n"/>
      <c r="ED36" s="4" t="n"/>
      <c r="EE36" s="4" t="n"/>
      <c r="EF36" s="4" t="n"/>
      <c r="EG36" s="4" t="n"/>
      <c r="EH36" s="4" t="n"/>
      <c r="EI36" s="4" t="n"/>
      <c r="EJ36" s="4" t="n"/>
      <c r="EK36" s="4" t="n"/>
    </row>
    <row r="37">
      <c r="A37" s="3" t="n"/>
      <c r="B37" s="3" t="n"/>
      <c r="C37" s="3" t="n"/>
      <c r="D37" s="3" t="n"/>
      <c r="E37" s="3" t="n"/>
      <c r="F37" s="4" t="n"/>
      <c r="G37" s="4" t="n"/>
      <c r="H37" s="4" t="n"/>
      <c r="I37" s="4" t="n"/>
      <c r="J37" s="4" t="n"/>
      <c r="K37" s="4" t="n"/>
      <c r="L37" s="4" t="n"/>
      <c r="M37" s="29" t="n"/>
      <c r="N37" s="29" t="n"/>
      <c r="O37" s="29" t="n"/>
      <c r="P37" s="29" t="n"/>
      <c r="Q37" s="29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4" t="n"/>
      <c r="CY37" s="4" t="n"/>
      <c r="CZ37" s="4" t="n"/>
      <c r="DA37" s="4" t="n"/>
      <c r="DB37" s="4" t="n"/>
      <c r="DC37" s="4" t="n"/>
      <c r="DD37" s="4" t="n"/>
      <c r="DE37" s="4" t="n"/>
      <c r="DF37" s="4" t="n"/>
      <c r="DG37" s="4" t="n"/>
      <c r="DH37" s="4" t="n"/>
      <c r="DI37" s="4" t="n"/>
      <c r="DJ37" s="4" t="n"/>
      <c r="DK37" s="4" t="n"/>
      <c r="DL37" s="4" t="n"/>
      <c r="DM37" s="4" t="n"/>
      <c r="DN37" s="4" t="n"/>
      <c r="DO37" s="4" t="n"/>
      <c r="DP37" s="4" t="n"/>
      <c r="DQ37" s="4" t="n"/>
      <c r="DR37" s="4" t="n"/>
      <c r="DS37" s="4" t="n"/>
      <c r="DT37" s="4" t="n"/>
      <c r="DU37" s="4" t="n"/>
      <c r="DV37" s="4" t="n"/>
      <c r="DW37" s="4" t="n"/>
      <c r="DX37" s="4" t="n"/>
      <c r="DY37" s="4" t="n"/>
      <c r="DZ37" s="4" t="n"/>
      <c r="EA37" s="4" t="n"/>
      <c r="EB37" s="4" t="n"/>
      <c r="EC37" s="4" t="n"/>
      <c r="ED37" s="4" t="n"/>
      <c r="EE37" s="4" t="n"/>
      <c r="EF37" s="4" t="n"/>
      <c r="EG37" s="4" t="n"/>
      <c r="EH37" s="4" t="n"/>
      <c r="EI37" s="4" t="n"/>
      <c r="EJ37" s="4" t="n"/>
      <c r="EK37" s="4" t="n"/>
    </row>
    <row r="38">
      <c r="A38" s="3" t="n"/>
      <c r="B38" s="3" t="n"/>
      <c r="C38" s="3" t="n"/>
      <c r="D38" s="3" t="n"/>
      <c r="E38" s="3" t="n"/>
      <c r="F38" s="4" t="n"/>
      <c r="G38" s="4" t="n"/>
      <c r="H38" s="4" t="n"/>
      <c r="I38" s="4" t="n"/>
      <c r="J38" s="4" t="n"/>
      <c r="K38" s="4" t="n"/>
      <c r="L38" s="4" t="n"/>
      <c r="M38" s="29" t="n"/>
      <c r="N38" s="29" t="n"/>
      <c r="O38" s="29" t="n"/>
      <c r="P38" s="29" t="n"/>
      <c r="Q38" s="29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4" t="n"/>
      <c r="CY38" s="4" t="n"/>
      <c r="CZ38" s="4" t="n"/>
      <c r="DA38" s="4" t="n"/>
      <c r="DB38" s="4" t="n"/>
      <c r="DC38" s="4" t="n"/>
      <c r="DD38" s="4" t="n"/>
      <c r="DE38" s="4" t="n"/>
      <c r="DF38" s="4" t="n"/>
      <c r="DG38" s="4" t="n"/>
      <c r="DH38" s="4" t="n"/>
      <c r="DI38" s="4" t="n"/>
      <c r="DJ38" s="4" t="n"/>
      <c r="DK38" s="4" t="n"/>
      <c r="DL38" s="4" t="n"/>
      <c r="DM38" s="4" t="n"/>
      <c r="DN38" s="4" t="n"/>
      <c r="DO38" s="4" t="n"/>
      <c r="DP38" s="4" t="n"/>
      <c r="DQ38" s="4" t="n"/>
      <c r="DR38" s="4" t="n"/>
      <c r="DS38" s="4" t="n"/>
      <c r="DT38" s="4" t="n"/>
      <c r="DU38" s="4" t="n"/>
      <c r="DV38" s="4" t="n"/>
      <c r="DW38" s="4" t="n"/>
      <c r="DX38" s="4" t="n"/>
      <c r="DY38" s="4" t="n"/>
      <c r="DZ38" s="4" t="n"/>
      <c r="EA38" s="4" t="n"/>
      <c r="EB38" s="4" t="n"/>
      <c r="EC38" s="4" t="n"/>
      <c r="ED38" s="4" t="n"/>
      <c r="EE38" s="4" t="n"/>
      <c r="EF38" s="4" t="n"/>
      <c r="EG38" s="4" t="n"/>
      <c r="EH38" s="4" t="n"/>
      <c r="EI38" s="4" t="n"/>
      <c r="EJ38" s="4" t="n"/>
      <c r="EK38" s="4" t="n"/>
    </row>
    <row r="39">
      <c r="A39" s="3" t="n"/>
      <c r="B39" s="3" t="n"/>
      <c r="C39" s="3" t="n"/>
      <c r="D39" s="3" t="n"/>
      <c r="E39" s="3" t="n"/>
      <c r="F39" s="4" t="n"/>
      <c r="G39" s="4" t="n"/>
      <c r="H39" s="4" t="n"/>
      <c r="I39" s="4" t="n"/>
      <c r="J39" s="4" t="n"/>
      <c r="K39" s="4" t="n"/>
      <c r="L39" s="4" t="n"/>
      <c r="M39" s="29" t="n"/>
      <c r="N39" s="29" t="n"/>
      <c r="O39" s="29" t="n"/>
      <c r="P39" s="29" t="n"/>
      <c r="Q39" s="29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4" t="n"/>
      <c r="CY39" s="4" t="n"/>
      <c r="CZ39" s="4" t="n"/>
      <c r="DA39" s="4" t="n"/>
      <c r="DB39" s="4" t="n"/>
      <c r="DC39" s="4" t="n"/>
      <c r="DD39" s="4" t="n"/>
      <c r="DE39" s="4" t="n"/>
      <c r="DF39" s="4" t="n"/>
      <c r="DG39" s="4" t="n"/>
      <c r="DH39" s="4" t="n"/>
      <c r="DI39" s="4" t="n"/>
      <c r="DJ39" s="4" t="n"/>
      <c r="DK39" s="4" t="n"/>
      <c r="DL39" s="4" t="n"/>
      <c r="DM39" s="4" t="n"/>
      <c r="DN39" s="4" t="n"/>
      <c r="DO39" s="4" t="n"/>
      <c r="DP39" s="4" t="n"/>
      <c r="DQ39" s="4" t="n"/>
      <c r="DR39" s="4" t="n"/>
      <c r="DS39" s="4" t="n"/>
      <c r="DT39" s="4" t="n"/>
      <c r="DU39" s="4" t="n"/>
      <c r="DV39" s="4" t="n"/>
      <c r="DW39" s="4" t="n"/>
      <c r="DX39" s="4" t="n"/>
      <c r="DY39" s="4" t="n"/>
      <c r="DZ39" s="4" t="n"/>
      <c r="EA39" s="4" t="n"/>
      <c r="EB39" s="4" t="n"/>
      <c r="EC39" s="4" t="n"/>
      <c r="ED39" s="4" t="n"/>
      <c r="EE39" s="4" t="n"/>
      <c r="EF39" s="4" t="n"/>
      <c r="EG39" s="4" t="n"/>
      <c r="EH39" s="4" t="n"/>
      <c r="EI39" s="4" t="n"/>
      <c r="EJ39" s="4" t="n"/>
      <c r="EK39" s="4" t="n"/>
    </row>
    <row r="40">
      <c r="A40" s="3" t="n"/>
      <c r="B40" s="3" t="n"/>
      <c r="C40" s="3" t="n"/>
      <c r="D40" s="3" t="n"/>
      <c r="E40" s="3" t="n"/>
      <c r="F40" s="4" t="n"/>
      <c r="G40" s="4" t="n"/>
      <c r="H40" s="4" t="n"/>
      <c r="I40" s="4" t="n"/>
      <c r="J40" s="4" t="n"/>
      <c r="K40" s="4" t="n"/>
      <c r="L40" s="4" t="n"/>
      <c r="M40" s="29" t="n"/>
      <c r="N40" s="29" t="n"/>
      <c r="O40" s="29" t="n"/>
      <c r="P40" s="29" t="n"/>
      <c r="Q40" s="29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4" t="n"/>
      <c r="CY40" s="4" t="n"/>
      <c r="CZ40" s="4" t="n"/>
      <c r="DA40" s="4" t="n"/>
      <c r="DB40" s="4" t="n"/>
      <c r="DC40" s="4" t="n"/>
      <c r="DD40" s="4" t="n"/>
      <c r="DE40" s="4" t="n"/>
      <c r="DF40" s="4" t="n"/>
      <c r="DG40" s="4" t="n"/>
      <c r="DH40" s="4" t="n"/>
      <c r="DI40" s="4" t="n"/>
      <c r="DJ40" s="4" t="n"/>
      <c r="DK40" s="4" t="n"/>
      <c r="DL40" s="4" t="n"/>
      <c r="DM40" s="4" t="n"/>
      <c r="DN40" s="4" t="n"/>
      <c r="DO40" s="4" t="n"/>
      <c r="DP40" s="4" t="n"/>
      <c r="DQ40" s="4" t="n"/>
      <c r="DR40" s="4" t="n"/>
      <c r="DS40" s="4" t="n"/>
      <c r="DT40" s="4" t="n"/>
      <c r="DU40" s="4" t="n"/>
      <c r="DV40" s="4" t="n"/>
      <c r="DW40" s="4" t="n"/>
      <c r="DX40" s="4" t="n"/>
      <c r="DY40" s="4" t="n"/>
      <c r="DZ40" s="4" t="n"/>
      <c r="EA40" s="4" t="n"/>
      <c r="EB40" s="4" t="n"/>
      <c r="EC40" s="4" t="n"/>
      <c r="ED40" s="4" t="n"/>
      <c r="EE40" s="4" t="n"/>
      <c r="EF40" s="4" t="n"/>
      <c r="EG40" s="4" t="n"/>
      <c r="EH40" s="4" t="n"/>
      <c r="EI40" s="4" t="n"/>
      <c r="EJ40" s="4" t="n"/>
      <c r="EK40" s="4" t="n"/>
    </row>
    <row r="41">
      <c r="A41" s="3" t="n"/>
      <c r="B41" s="3" t="n"/>
      <c r="C41" s="3" t="n"/>
      <c r="D41" s="3" t="n"/>
      <c r="E41" s="3" t="n"/>
      <c r="F41" s="4" t="n"/>
      <c r="G41" s="4" t="n"/>
      <c r="H41" s="4" t="n"/>
      <c r="I41" s="4" t="n"/>
      <c r="J41" s="4" t="n"/>
      <c r="K41" s="4" t="n"/>
      <c r="L41" s="4" t="n"/>
      <c r="M41" s="29" t="n"/>
      <c r="N41" s="29" t="n"/>
      <c r="O41" s="29" t="n"/>
      <c r="P41" s="29" t="n"/>
      <c r="Q41" s="29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4" t="n"/>
      <c r="CY41" s="4" t="n"/>
      <c r="CZ41" s="4" t="n"/>
      <c r="DA41" s="4" t="n"/>
      <c r="DB41" s="4" t="n"/>
      <c r="DC41" s="4" t="n"/>
      <c r="DD41" s="4" t="n"/>
      <c r="DE41" s="4" t="n"/>
      <c r="DF41" s="4" t="n"/>
      <c r="DG41" s="4" t="n"/>
      <c r="DH41" s="4" t="n"/>
      <c r="DI41" s="4" t="n"/>
      <c r="DJ41" s="4" t="n"/>
      <c r="DK41" s="4" t="n"/>
      <c r="DL41" s="4" t="n"/>
      <c r="DM41" s="4" t="n"/>
      <c r="DN41" s="4" t="n"/>
      <c r="DO41" s="4" t="n"/>
      <c r="DP41" s="4" t="n"/>
      <c r="DQ41" s="4" t="n"/>
      <c r="DR41" s="4" t="n"/>
      <c r="DS41" s="4" t="n"/>
      <c r="DT41" s="4" t="n"/>
      <c r="DU41" s="4" t="n"/>
      <c r="DV41" s="4" t="n"/>
      <c r="DW41" s="4" t="n"/>
      <c r="DX41" s="4" t="n"/>
      <c r="DY41" s="4" t="n"/>
      <c r="DZ41" s="4" t="n"/>
      <c r="EA41" s="4" t="n"/>
      <c r="EB41" s="4" t="n"/>
      <c r="EC41" s="4" t="n"/>
      <c r="ED41" s="4" t="n"/>
      <c r="EE41" s="4" t="n"/>
      <c r="EF41" s="4" t="n"/>
      <c r="EG41" s="4" t="n"/>
      <c r="EH41" s="4" t="n"/>
      <c r="EI41" s="4" t="n"/>
      <c r="EJ41" s="4" t="n"/>
      <c r="EK41" s="4" t="n"/>
    </row>
    <row r="42">
      <c r="A42" s="3" t="n"/>
      <c r="B42" s="3" t="n"/>
      <c r="C42" s="3" t="n"/>
      <c r="D42" s="3" t="n"/>
      <c r="E42" s="3" t="n"/>
      <c r="F42" s="4" t="n"/>
      <c r="G42" s="4" t="n"/>
      <c r="H42" s="4" t="n"/>
      <c r="I42" s="4" t="n"/>
      <c r="J42" s="4" t="n"/>
      <c r="K42" s="4" t="n"/>
      <c r="L42" s="4" t="n"/>
      <c r="M42" s="29" t="n"/>
      <c r="N42" s="29" t="n"/>
      <c r="O42" s="29" t="n"/>
      <c r="P42" s="29" t="n"/>
      <c r="Q42" s="29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4" t="n"/>
      <c r="CY42" s="4" t="n"/>
      <c r="CZ42" s="4" t="n"/>
      <c r="DA42" s="4" t="n"/>
      <c r="DB42" s="4" t="n"/>
      <c r="DC42" s="4" t="n"/>
      <c r="DD42" s="4" t="n"/>
      <c r="DE42" s="4" t="n"/>
      <c r="DF42" s="4" t="n"/>
      <c r="DG42" s="4" t="n"/>
      <c r="DH42" s="4" t="n"/>
      <c r="DI42" s="4" t="n"/>
      <c r="DJ42" s="4" t="n"/>
      <c r="DK42" s="4" t="n"/>
      <c r="DL42" s="4" t="n"/>
      <c r="DM42" s="4" t="n"/>
      <c r="DN42" s="4" t="n"/>
      <c r="DO42" s="4" t="n"/>
      <c r="DP42" s="4" t="n"/>
      <c r="DQ42" s="4" t="n"/>
      <c r="DR42" s="4" t="n"/>
      <c r="DS42" s="4" t="n"/>
      <c r="DT42" s="4" t="n"/>
      <c r="DU42" s="4" t="n"/>
      <c r="DV42" s="4" t="n"/>
      <c r="DW42" s="4" t="n"/>
      <c r="DX42" s="4" t="n"/>
      <c r="DY42" s="4" t="n"/>
      <c r="DZ42" s="4" t="n"/>
      <c r="EA42" s="4" t="n"/>
      <c r="EB42" s="4" t="n"/>
      <c r="EC42" s="4" t="n"/>
      <c r="ED42" s="4" t="n"/>
      <c r="EE42" s="4" t="n"/>
      <c r="EF42" s="4" t="n"/>
      <c r="EG42" s="4" t="n"/>
      <c r="EH42" s="4" t="n"/>
      <c r="EI42" s="4" t="n"/>
      <c r="EJ42" s="4" t="n"/>
      <c r="EK42" s="4" t="n"/>
    </row>
    <row r="43">
      <c r="A43" s="3" t="n"/>
      <c r="B43" s="3" t="n"/>
      <c r="C43" s="3" t="n"/>
      <c r="D43" s="3" t="n"/>
      <c r="E43" s="3" t="n"/>
      <c r="F43" s="4" t="n"/>
      <c r="G43" s="4" t="n"/>
      <c r="H43" s="4" t="n"/>
      <c r="I43" s="4" t="n"/>
      <c r="J43" s="4" t="n"/>
      <c r="K43" s="4" t="n"/>
      <c r="L43" s="4" t="n"/>
      <c r="M43" s="29" t="n"/>
      <c r="N43" s="29" t="n"/>
      <c r="O43" s="29" t="n"/>
      <c r="P43" s="29" t="n"/>
      <c r="Q43" s="29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4" t="n"/>
      <c r="CY43" s="4" t="n"/>
      <c r="CZ43" s="4" t="n"/>
      <c r="DA43" s="4" t="n"/>
      <c r="DB43" s="4" t="n"/>
      <c r="DC43" s="4" t="n"/>
      <c r="DD43" s="4" t="n"/>
      <c r="DE43" s="4" t="n"/>
      <c r="DF43" s="4" t="n"/>
      <c r="DG43" s="4" t="n"/>
      <c r="DH43" s="4" t="n"/>
      <c r="DI43" s="4" t="n"/>
      <c r="DJ43" s="4" t="n"/>
      <c r="DK43" s="4" t="n"/>
      <c r="DL43" s="4" t="n"/>
      <c r="DM43" s="4" t="n"/>
      <c r="DN43" s="4" t="n"/>
      <c r="DO43" s="4" t="n"/>
      <c r="DP43" s="4" t="n"/>
      <c r="DQ43" s="4" t="n"/>
      <c r="DR43" s="4" t="n"/>
      <c r="DS43" s="4" t="n"/>
      <c r="DT43" s="4" t="n"/>
      <c r="DU43" s="4" t="n"/>
      <c r="DV43" s="4" t="n"/>
      <c r="DW43" s="4" t="n"/>
      <c r="DX43" s="4" t="n"/>
      <c r="DY43" s="4" t="n"/>
      <c r="DZ43" s="4" t="n"/>
      <c r="EA43" s="4" t="n"/>
      <c r="EB43" s="4" t="n"/>
      <c r="EC43" s="4" t="n"/>
      <c r="ED43" s="4" t="n"/>
      <c r="EE43" s="4" t="n"/>
      <c r="EF43" s="4" t="n"/>
      <c r="EG43" s="4" t="n"/>
      <c r="EH43" s="4" t="n"/>
      <c r="EI43" s="4" t="n"/>
      <c r="EJ43" s="4" t="n"/>
      <c r="EK43" s="4" t="n"/>
    </row>
    <row r="44">
      <c r="A44" s="3" t="n"/>
      <c r="B44" s="3" t="n"/>
      <c r="C44" s="3" t="n"/>
      <c r="D44" s="3" t="n"/>
      <c r="E44" s="3" t="n"/>
      <c r="F44" s="4" t="n"/>
      <c r="G44" s="4" t="n"/>
      <c r="H44" s="4" t="n"/>
      <c r="I44" s="4" t="n"/>
      <c r="J44" s="4" t="n"/>
      <c r="K44" s="4" t="n"/>
      <c r="L44" s="4" t="n"/>
      <c r="M44" s="29" t="n"/>
      <c r="N44" s="29" t="n"/>
      <c r="O44" s="29" t="n"/>
      <c r="P44" s="29" t="n"/>
      <c r="Q44" s="29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4" t="n"/>
      <c r="CY44" s="4" t="n"/>
      <c r="CZ44" s="4" t="n"/>
      <c r="DA44" s="4" t="n"/>
      <c r="DB44" s="4" t="n"/>
      <c r="DC44" s="4" t="n"/>
      <c r="DD44" s="4" t="n"/>
      <c r="DE44" s="4" t="n"/>
      <c r="DF44" s="4" t="n"/>
      <c r="DG44" s="4" t="n"/>
      <c r="DH44" s="4" t="n"/>
      <c r="DI44" s="4" t="n"/>
      <c r="DJ44" s="4" t="n"/>
      <c r="DK44" s="4" t="n"/>
      <c r="DL44" s="4" t="n"/>
      <c r="DM44" s="4" t="n"/>
      <c r="DN44" s="4" t="n"/>
      <c r="DO44" s="4" t="n"/>
      <c r="DP44" s="4" t="n"/>
      <c r="DQ44" s="4" t="n"/>
      <c r="DR44" s="4" t="n"/>
      <c r="DS44" s="4" t="n"/>
      <c r="DT44" s="4" t="n"/>
      <c r="DU44" s="4" t="n"/>
      <c r="DV44" s="4" t="n"/>
      <c r="DW44" s="4" t="n"/>
      <c r="DX44" s="4" t="n"/>
      <c r="DY44" s="4" t="n"/>
      <c r="DZ44" s="4" t="n"/>
      <c r="EA44" s="4" t="n"/>
      <c r="EB44" s="4" t="n"/>
      <c r="EC44" s="4" t="n"/>
      <c r="ED44" s="4" t="n"/>
      <c r="EE44" s="4" t="n"/>
      <c r="EF44" s="4" t="n"/>
      <c r="EG44" s="4" t="n"/>
      <c r="EH44" s="4" t="n"/>
      <c r="EI44" s="4" t="n"/>
      <c r="EJ44" s="4" t="n"/>
      <c r="EK44" s="4" t="n"/>
    </row>
    <row r="45">
      <c r="A45" s="3" t="n"/>
      <c r="B45" s="3" t="n"/>
      <c r="C45" s="3" t="n"/>
      <c r="D45" s="3" t="n"/>
      <c r="E45" s="3" t="n"/>
      <c r="F45" s="4" t="n"/>
      <c r="G45" s="4" t="n"/>
      <c r="H45" s="4" t="n"/>
      <c r="I45" s="4" t="n"/>
      <c r="J45" s="4" t="n"/>
      <c r="K45" s="4" t="n"/>
      <c r="L45" s="4" t="n"/>
      <c r="M45" s="29" t="n"/>
      <c r="N45" s="29" t="n"/>
      <c r="O45" s="29" t="n"/>
      <c r="P45" s="29" t="n"/>
      <c r="Q45" s="29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4" t="n"/>
      <c r="CY45" s="4" t="n"/>
      <c r="CZ45" s="4" t="n"/>
      <c r="DA45" s="4" t="n"/>
      <c r="DB45" s="4" t="n"/>
      <c r="DC45" s="4" t="n"/>
      <c r="DD45" s="4" t="n"/>
      <c r="DE45" s="4" t="n"/>
      <c r="DF45" s="4" t="n"/>
      <c r="DG45" s="4" t="n"/>
      <c r="DH45" s="4" t="n"/>
      <c r="DI45" s="4" t="n"/>
      <c r="DJ45" s="4" t="n"/>
      <c r="DK45" s="4" t="n"/>
      <c r="DL45" s="4" t="n"/>
      <c r="DM45" s="4" t="n"/>
      <c r="DN45" s="4" t="n"/>
      <c r="DO45" s="4" t="n"/>
      <c r="DP45" s="4" t="n"/>
      <c r="DQ45" s="4" t="n"/>
      <c r="DR45" s="4" t="n"/>
      <c r="DS45" s="4" t="n"/>
      <c r="DT45" s="4" t="n"/>
      <c r="DU45" s="4" t="n"/>
      <c r="DV45" s="4" t="n"/>
      <c r="DW45" s="4" t="n"/>
      <c r="DX45" s="4" t="n"/>
      <c r="DY45" s="4" t="n"/>
      <c r="DZ45" s="4" t="n"/>
      <c r="EA45" s="4" t="n"/>
      <c r="EB45" s="4" t="n"/>
      <c r="EC45" s="4" t="n"/>
      <c r="ED45" s="4" t="n"/>
      <c r="EE45" s="4" t="n"/>
      <c r="EF45" s="4" t="n"/>
      <c r="EG45" s="4" t="n"/>
      <c r="EH45" s="4" t="n"/>
      <c r="EI45" s="4" t="n"/>
      <c r="EJ45" s="4" t="n"/>
      <c r="EK45" s="4" t="n"/>
    </row>
    <row r="46">
      <c r="A46" s="3" t="n"/>
      <c r="B46" s="3" t="n"/>
      <c r="C46" s="3" t="n"/>
      <c r="D46" s="3" t="n"/>
      <c r="E46" s="3" t="n"/>
      <c r="F46" s="4" t="n"/>
      <c r="G46" s="4" t="n"/>
      <c r="H46" s="4" t="n"/>
      <c r="I46" s="4" t="n"/>
      <c r="J46" s="4" t="n"/>
      <c r="K46" s="4" t="n"/>
      <c r="L46" s="4" t="n"/>
      <c r="M46" s="29" t="n"/>
      <c r="N46" s="29" t="n"/>
      <c r="O46" s="29" t="n"/>
      <c r="P46" s="29" t="n"/>
      <c r="Q46" s="29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4" t="n"/>
      <c r="CY46" s="4" t="n"/>
      <c r="CZ46" s="4" t="n"/>
      <c r="DA46" s="4" t="n"/>
      <c r="DB46" s="4" t="n"/>
      <c r="DC46" s="4" t="n"/>
      <c r="DD46" s="4" t="n"/>
      <c r="DE46" s="4" t="n"/>
      <c r="DF46" s="4" t="n"/>
      <c r="DG46" s="4" t="n"/>
      <c r="DH46" s="4" t="n"/>
      <c r="DI46" s="4" t="n"/>
      <c r="DJ46" s="4" t="n"/>
      <c r="DK46" s="4" t="n"/>
      <c r="DL46" s="4" t="n"/>
      <c r="DM46" s="4" t="n"/>
      <c r="DN46" s="4" t="n"/>
      <c r="DO46" s="4" t="n"/>
      <c r="DP46" s="4" t="n"/>
      <c r="DQ46" s="4" t="n"/>
      <c r="DR46" s="4" t="n"/>
      <c r="DS46" s="4" t="n"/>
      <c r="DT46" s="4" t="n"/>
      <c r="DU46" s="4" t="n"/>
      <c r="DV46" s="4" t="n"/>
      <c r="DW46" s="4" t="n"/>
      <c r="DX46" s="4" t="n"/>
      <c r="DY46" s="4" t="n"/>
      <c r="DZ46" s="4" t="n"/>
      <c r="EA46" s="4" t="n"/>
      <c r="EB46" s="4" t="n"/>
      <c r="EC46" s="4" t="n"/>
      <c r="ED46" s="4" t="n"/>
      <c r="EE46" s="4" t="n"/>
      <c r="EF46" s="4" t="n"/>
      <c r="EG46" s="4" t="n"/>
      <c r="EH46" s="4" t="n"/>
      <c r="EI46" s="4" t="n"/>
      <c r="EJ46" s="4" t="n"/>
      <c r="EK46" s="4" t="n"/>
    </row>
    <row r="47">
      <c r="A47" s="3" t="n"/>
      <c r="B47" s="3" t="n"/>
      <c r="C47" s="3" t="n"/>
      <c r="D47" s="3" t="n"/>
      <c r="E47" s="3" t="n"/>
      <c r="F47" s="4" t="n"/>
      <c r="G47" s="4" t="n"/>
      <c r="H47" s="4" t="n"/>
      <c r="I47" s="4" t="n"/>
      <c r="J47" s="4" t="n"/>
      <c r="K47" s="4" t="n"/>
      <c r="L47" s="4" t="n"/>
      <c r="M47" s="29" t="n"/>
      <c r="N47" s="29" t="n"/>
      <c r="O47" s="29" t="n"/>
      <c r="P47" s="29" t="n"/>
      <c r="Q47" s="29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4" t="n"/>
      <c r="CY47" s="4" t="n"/>
      <c r="CZ47" s="4" t="n"/>
      <c r="DA47" s="4" t="n"/>
      <c r="DB47" s="4" t="n"/>
      <c r="DC47" s="4" t="n"/>
      <c r="DD47" s="4" t="n"/>
      <c r="DE47" s="4" t="n"/>
      <c r="DF47" s="4" t="n"/>
      <c r="DG47" s="4" t="n"/>
      <c r="DH47" s="4" t="n"/>
      <c r="DI47" s="4" t="n"/>
      <c r="DJ47" s="4" t="n"/>
      <c r="DK47" s="4" t="n"/>
      <c r="DL47" s="4" t="n"/>
      <c r="DM47" s="4" t="n"/>
      <c r="DN47" s="4" t="n"/>
      <c r="DO47" s="4" t="n"/>
      <c r="DP47" s="4" t="n"/>
      <c r="DQ47" s="4" t="n"/>
      <c r="DR47" s="4" t="n"/>
      <c r="DS47" s="4" t="n"/>
      <c r="DT47" s="4" t="n"/>
      <c r="DU47" s="4" t="n"/>
      <c r="DV47" s="4" t="n"/>
      <c r="DW47" s="4" t="n"/>
      <c r="DX47" s="4" t="n"/>
      <c r="DY47" s="4" t="n"/>
      <c r="DZ47" s="4" t="n"/>
      <c r="EA47" s="4" t="n"/>
      <c r="EB47" s="4" t="n"/>
      <c r="EC47" s="4" t="n"/>
      <c r="ED47" s="4" t="n"/>
      <c r="EE47" s="4" t="n"/>
      <c r="EF47" s="4" t="n"/>
      <c r="EG47" s="4" t="n"/>
      <c r="EH47" s="4" t="n"/>
      <c r="EI47" s="4" t="n"/>
      <c r="EJ47" s="4" t="n"/>
      <c r="EK47" s="4" t="n"/>
    </row>
    <row r="48">
      <c r="A48" s="3" t="n"/>
      <c r="B48" s="3" t="n"/>
      <c r="C48" s="3" t="n"/>
      <c r="D48" s="3" t="n"/>
      <c r="E48" s="3" t="n"/>
      <c r="F48" s="4" t="n"/>
      <c r="G48" s="4" t="n"/>
      <c r="H48" s="4" t="n"/>
      <c r="I48" s="4" t="n"/>
      <c r="J48" s="4" t="n"/>
      <c r="K48" s="4" t="n"/>
      <c r="L48" s="4" t="n"/>
      <c r="M48" s="29" t="n"/>
      <c r="N48" s="29" t="n"/>
      <c r="O48" s="29" t="n"/>
      <c r="P48" s="29" t="n"/>
      <c r="Q48" s="29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4" t="n"/>
      <c r="CY48" s="4" t="n"/>
      <c r="CZ48" s="4" t="n"/>
      <c r="DA48" s="4" t="n"/>
      <c r="DB48" s="4" t="n"/>
      <c r="DC48" s="4" t="n"/>
      <c r="DD48" s="4" t="n"/>
      <c r="DE48" s="4" t="n"/>
      <c r="DF48" s="4" t="n"/>
      <c r="DG48" s="4" t="n"/>
      <c r="DH48" s="4" t="n"/>
      <c r="DI48" s="4" t="n"/>
      <c r="DJ48" s="4" t="n"/>
      <c r="DK48" s="4" t="n"/>
      <c r="DL48" s="4" t="n"/>
      <c r="DM48" s="4" t="n"/>
      <c r="DN48" s="4" t="n"/>
      <c r="DO48" s="4" t="n"/>
      <c r="DP48" s="4" t="n"/>
      <c r="DQ48" s="4" t="n"/>
      <c r="DR48" s="4" t="n"/>
      <c r="DS48" s="4" t="n"/>
      <c r="DT48" s="4" t="n"/>
      <c r="DU48" s="4" t="n"/>
      <c r="DV48" s="4" t="n"/>
      <c r="DW48" s="4" t="n"/>
      <c r="DX48" s="4" t="n"/>
      <c r="DY48" s="4" t="n"/>
      <c r="DZ48" s="4" t="n"/>
      <c r="EA48" s="4" t="n"/>
      <c r="EB48" s="4" t="n"/>
      <c r="EC48" s="4" t="n"/>
      <c r="ED48" s="4" t="n"/>
      <c r="EE48" s="4" t="n"/>
      <c r="EF48" s="4" t="n"/>
      <c r="EG48" s="4" t="n"/>
      <c r="EH48" s="4" t="n"/>
      <c r="EI48" s="4" t="n"/>
      <c r="EJ48" s="4" t="n"/>
      <c r="EK48" s="4" t="n"/>
    </row>
    <row r="49">
      <c r="A49" s="3" t="n"/>
      <c r="B49" s="3" t="n"/>
      <c r="C49" s="3" t="n"/>
      <c r="D49" s="3" t="n"/>
      <c r="E49" s="3" t="n"/>
      <c r="F49" s="4" t="n"/>
      <c r="G49" s="4" t="n"/>
      <c r="H49" s="4" t="n"/>
      <c r="I49" s="4" t="n"/>
      <c r="J49" s="4" t="n"/>
      <c r="K49" s="4" t="n"/>
      <c r="L49" s="4" t="n"/>
      <c r="M49" s="29" t="n"/>
      <c r="N49" s="29" t="n"/>
      <c r="O49" s="29" t="n"/>
      <c r="P49" s="29" t="n"/>
      <c r="Q49" s="29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4" t="n"/>
      <c r="CY49" s="4" t="n"/>
      <c r="CZ49" s="4" t="n"/>
      <c r="DA49" s="4" t="n"/>
      <c r="DB49" s="4" t="n"/>
      <c r="DC49" s="4" t="n"/>
      <c r="DD49" s="4" t="n"/>
      <c r="DE49" s="4" t="n"/>
      <c r="DF49" s="4" t="n"/>
      <c r="DG49" s="4" t="n"/>
      <c r="DH49" s="4" t="n"/>
      <c r="DI49" s="4" t="n"/>
      <c r="DJ49" s="4" t="n"/>
      <c r="DK49" s="4" t="n"/>
      <c r="DL49" s="4" t="n"/>
      <c r="DM49" s="4" t="n"/>
      <c r="DN49" s="4" t="n"/>
      <c r="DO49" s="4" t="n"/>
      <c r="DP49" s="4" t="n"/>
      <c r="DQ49" s="4" t="n"/>
      <c r="DR49" s="4" t="n"/>
      <c r="DS49" s="4" t="n"/>
      <c r="DT49" s="4" t="n"/>
      <c r="DU49" s="4" t="n"/>
      <c r="DV49" s="4" t="n"/>
      <c r="DW49" s="4" t="n"/>
      <c r="DX49" s="4" t="n"/>
      <c r="DY49" s="4" t="n"/>
      <c r="DZ49" s="4" t="n"/>
      <c r="EA49" s="4" t="n"/>
      <c r="EB49" s="4" t="n"/>
      <c r="EC49" s="4" t="n"/>
      <c r="ED49" s="4" t="n"/>
      <c r="EE49" s="4" t="n"/>
      <c r="EF49" s="4" t="n"/>
      <c r="EG49" s="4" t="n"/>
      <c r="EH49" s="4" t="n"/>
      <c r="EI49" s="4" t="n"/>
      <c r="EJ49" s="4" t="n"/>
      <c r="EK49" s="4" t="n"/>
    </row>
    <row r="50">
      <c r="A50" s="3" t="n"/>
      <c r="B50" s="3" t="n"/>
      <c r="C50" s="3" t="n"/>
      <c r="D50" s="3" t="n"/>
      <c r="E50" s="3" t="n"/>
      <c r="F50" s="4" t="n"/>
      <c r="G50" s="4" t="n"/>
      <c r="H50" s="4" t="n"/>
      <c r="I50" s="4" t="n"/>
      <c r="J50" s="4" t="n"/>
      <c r="K50" s="4" t="n"/>
      <c r="L50" s="4" t="n"/>
      <c r="M50" s="29" t="n"/>
      <c r="N50" s="29" t="n"/>
      <c r="O50" s="29" t="n"/>
      <c r="P50" s="29" t="n"/>
      <c r="Q50" s="29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4" t="n"/>
      <c r="CY50" s="4" t="n"/>
      <c r="CZ50" s="4" t="n"/>
      <c r="DA50" s="4" t="n"/>
      <c r="DB50" s="4" t="n"/>
      <c r="DC50" s="4" t="n"/>
      <c r="DD50" s="4" t="n"/>
      <c r="DE50" s="4" t="n"/>
      <c r="DF50" s="4" t="n"/>
      <c r="DG50" s="4" t="n"/>
      <c r="DH50" s="4" t="n"/>
      <c r="DI50" s="4" t="n"/>
      <c r="DJ50" s="4" t="n"/>
      <c r="DK50" s="4" t="n"/>
      <c r="DL50" s="4" t="n"/>
      <c r="DM50" s="4" t="n"/>
      <c r="DN50" s="4" t="n"/>
      <c r="DO50" s="4" t="n"/>
      <c r="DP50" s="4" t="n"/>
      <c r="DQ50" s="4" t="n"/>
      <c r="DR50" s="4" t="n"/>
      <c r="DS50" s="4" t="n"/>
      <c r="DT50" s="4" t="n"/>
      <c r="DU50" s="4" t="n"/>
      <c r="DV50" s="4" t="n"/>
      <c r="DW50" s="4" t="n"/>
      <c r="DX50" s="4" t="n"/>
      <c r="DY50" s="4" t="n"/>
      <c r="DZ50" s="4" t="n"/>
      <c r="EA50" s="4" t="n"/>
      <c r="EB50" s="4" t="n"/>
      <c r="EC50" s="4" t="n"/>
      <c r="ED50" s="4" t="n"/>
      <c r="EE50" s="4" t="n"/>
      <c r="EF50" s="4" t="n"/>
      <c r="EG50" s="4" t="n"/>
      <c r="EH50" s="4" t="n"/>
      <c r="EI50" s="4" t="n"/>
      <c r="EJ50" s="4" t="n"/>
      <c r="EK50" s="4" t="n"/>
    </row>
    <row r="51">
      <c r="A51" s="3" t="n"/>
      <c r="B51" s="3" t="n"/>
      <c r="C51" s="3" t="n"/>
      <c r="D51" s="3" t="n"/>
      <c r="E51" s="3" t="n"/>
      <c r="F51" s="4" t="n"/>
      <c r="G51" s="4" t="n"/>
      <c r="H51" s="4" t="n"/>
      <c r="I51" s="4" t="n"/>
      <c r="J51" s="4" t="n"/>
      <c r="K51" s="4" t="n"/>
      <c r="L51" s="4" t="n"/>
      <c r="M51" s="29" t="n"/>
      <c r="N51" s="29" t="n"/>
      <c r="O51" s="29" t="n"/>
      <c r="P51" s="29" t="n"/>
      <c r="Q51" s="29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4" t="n"/>
      <c r="CY51" s="4" t="n"/>
      <c r="CZ51" s="4" t="n"/>
      <c r="DA51" s="4" t="n"/>
      <c r="DB51" s="4" t="n"/>
      <c r="DC51" s="4" t="n"/>
      <c r="DD51" s="4" t="n"/>
      <c r="DE51" s="4" t="n"/>
      <c r="DF51" s="4" t="n"/>
      <c r="DG51" s="4" t="n"/>
      <c r="DH51" s="4" t="n"/>
      <c r="DI51" s="4" t="n"/>
      <c r="DJ51" s="4" t="n"/>
      <c r="DK51" s="4" t="n"/>
      <c r="DL51" s="4" t="n"/>
      <c r="DM51" s="4" t="n"/>
      <c r="DN51" s="4" t="n"/>
      <c r="DO51" s="4" t="n"/>
      <c r="DP51" s="4" t="n"/>
      <c r="DQ51" s="4" t="n"/>
      <c r="DR51" s="4" t="n"/>
      <c r="DS51" s="4" t="n"/>
      <c r="DT51" s="4" t="n"/>
      <c r="DU51" s="4" t="n"/>
      <c r="DV51" s="4" t="n"/>
      <c r="DW51" s="4" t="n"/>
      <c r="DX51" s="4" t="n"/>
      <c r="DY51" s="4" t="n"/>
      <c r="DZ51" s="4" t="n"/>
      <c r="EA51" s="4" t="n"/>
      <c r="EB51" s="4" t="n"/>
      <c r="EC51" s="4" t="n"/>
      <c r="ED51" s="4" t="n"/>
      <c r="EE51" s="4" t="n"/>
      <c r="EF51" s="4" t="n"/>
      <c r="EG51" s="4" t="n"/>
      <c r="EH51" s="4" t="n"/>
      <c r="EI51" s="4" t="n"/>
      <c r="EJ51" s="4" t="n"/>
      <c r="EK51" s="4" t="n"/>
    </row>
    <row r="52">
      <c r="A52" s="3" t="n"/>
      <c r="B52" s="3" t="n"/>
      <c r="C52" s="3" t="n"/>
      <c r="D52" s="3" t="n"/>
      <c r="E52" s="3" t="n"/>
      <c r="F52" s="4" t="n"/>
      <c r="G52" s="4" t="n"/>
      <c r="H52" s="4" t="n"/>
      <c r="I52" s="4" t="n"/>
      <c r="J52" s="4" t="n"/>
      <c r="K52" s="4" t="n"/>
      <c r="L52" s="4" t="n"/>
      <c r="M52" s="29" t="n"/>
      <c r="N52" s="29" t="n"/>
      <c r="O52" s="29" t="n"/>
      <c r="P52" s="29" t="n"/>
      <c r="Q52" s="29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4" t="n"/>
      <c r="CY52" s="4" t="n"/>
      <c r="CZ52" s="4" t="n"/>
      <c r="DA52" s="4" t="n"/>
      <c r="DB52" s="4" t="n"/>
      <c r="DC52" s="4" t="n"/>
      <c r="DD52" s="4" t="n"/>
      <c r="DE52" s="4" t="n"/>
      <c r="DF52" s="4" t="n"/>
      <c r="DG52" s="4" t="n"/>
      <c r="DH52" s="4" t="n"/>
      <c r="DI52" s="4" t="n"/>
      <c r="DJ52" s="4" t="n"/>
      <c r="DK52" s="4" t="n"/>
      <c r="DL52" s="4" t="n"/>
      <c r="DM52" s="4" t="n"/>
      <c r="DN52" s="4" t="n"/>
      <c r="DO52" s="4" t="n"/>
      <c r="DP52" s="4" t="n"/>
      <c r="DQ52" s="4" t="n"/>
      <c r="DR52" s="4" t="n"/>
      <c r="DS52" s="4" t="n"/>
      <c r="DT52" s="4" t="n"/>
      <c r="DU52" s="4" t="n"/>
      <c r="DV52" s="4" t="n"/>
      <c r="DW52" s="4" t="n"/>
      <c r="DX52" s="4" t="n"/>
      <c r="DY52" s="4" t="n"/>
      <c r="DZ52" s="4" t="n"/>
      <c r="EA52" s="4" t="n"/>
      <c r="EB52" s="4" t="n"/>
      <c r="EC52" s="4" t="n"/>
      <c r="ED52" s="4" t="n"/>
      <c r="EE52" s="4" t="n"/>
      <c r="EF52" s="4" t="n"/>
      <c r="EG52" s="4" t="n"/>
      <c r="EH52" s="4" t="n"/>
      <c r="EI52" s="4" t="n"/>
      <c r="EJ52" s="4" t="n"/>
      <c r="EK52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Y52"/>
  <sheetViews>
    <sheetView topLeftCell="AC2" workbookViewId="0">
      <selection activeCell="AH6" sqref="AH6"/>
    </sheetView>
  </sheetViews>
  <sheetFormatPr baseColWidth="8" defaultRowHeight="17.4"/>
  <cols>
    <col width="27.3984375" customWidth="1" style="28" min="9" max="9"/>
    <col width="28.3984375" bestFit="1" customWidth="1" style="28" min="11" max="11"/>
    <col width="15.09765625" bestFit="1" customWidth="1" style="28" min="16" max="16"/>
    <col width="14.3984375" bestFit="1" customWidth="1" style="28" min="17" max="17"/>
  </cols>
  <sheetData>
    <row r="1" ht="18" customHeight="1" s="28" thickBot="1"/>
    <row r="2" ht="19.2" customHeight="1" s="28">
      <c r="A2" s="30" t="inlineStr">
        <is>
          <t>년</t>
        </is>
      </c>
      <c r="B2" s="31" t="inlineStr">
        <is>
          <t>월</t>
        </is>
      </c>
      <c r="C2" s="8" t="inlineStr">
        <is>
          <t>부문</t>
        </is>
      </c>
      <c r="D2" s="31" t="inlineStr">
        <is>
          <t>팀</t>
        </is>
      </c>
      <c r="E2" s="32" t="inlineStr">
        <is>
          <t>권역</t>
        </is>
      </c>
      <c r="F2" s="32" t="inlineStr">
        <is>
          <t>사업소</t>
        </is>
      </c>
      <c r="G2" s="32" t="inlineStr">
        <is>
          <t>파트</t>
        </is>
      </c>
      <c r="H2" s="31" t="inlineStr">
        <is>
          <t>거래처코드</t>
        </is>
      </c>
      <c r="I2" s="31" t="inlineStr">
        <is>
          <t>고객</t>
        </is>
      </c>
      <c r="J2" s="10" t="inlineStr">
        <is>
          <t>상품</t>
        </is>
      </c>
      <c r="K2" s="10" t="inlineStr">
        <is>
          <t>DESC</t>
        </is>
      </c>
      <c r="L2" s="33" t="inlineStr">
        <is>
          <t>구분</t>
        </is>
      </c>
      <c r="M2" s="33" t="inlineStr">
        <is>
          <t>판매구분</t>
        </is>
      </c>
      <c r="N2" s="33" t="inlineStr">
        <is>
          <t>제품구분1</t>
        </is>
      </c>
      <c r="O2" s="33" t="inlineStr">
        <is>
          <t>제품구분2</t>
        </is>
      </c>
      <c r="P2" s="33" t="inlineStr">
        <is>
          <t>제품구분3</t>
        </is>
      </c>
      <c r="Q2" s="12" t="inlineStr">
        <is>
          <t>영업-가마감매출</t>
        </is>
      </c>
      <c r="R2" s="12" t="inlineStr">
        <is>
          <t>영업-매출할인</t>
        </is>
      </c>
      <c r="S2" s="12" t="inlineStr">
        <is>
          <t>영업-마감매출조정</t>
        </is>
      </c>
      <c r="T2" s="12" t="inlineStr">
        <is>
          <t>영업-정마감매출</t>
        </is>
      </c>
      <c r="U2" s="12" t="inlineStr">
        <is>
          <t>영업-기타매출액</t>
        </is>
      </c>
      <c r="V2" s="13" t="inlineStr">
        <is>
          <t>영업-매출액(조정전)</t>
        </is>
      </c>
      <c r="W2" s="12" t="inlineStr">
        <is>
          <t>기획-매출조정</t>
        </is>
      </c>
      <c r="X2" s="14" t="inlineStr">
        <is>
          <t>기획-매출액(최종마감)</t>
        </is>
      </c>
      <c r="Y2" s="14" t="inlineStr">
        <is>
          <t>순연</t>
        </is>
      </c>
      <c r="Z2" s="14" t="inlineStr">
        <is>
          <t>경연</t>
        </is>
      </c>
      <c r="AA2" s="14" t="inlineStr">
        <is>
          <t>칼슘연</t>
        </is>
      </c>
      <c r="AB2" s="14" t="inlineStr">
        <is>
          <t>니켈</t>
        </is>
      </c>
      <c r="AC2" s="14" t="inlineStr">
        <is>
          <t>리튬</t>
        </is>
      </c>
      <c r="AD2" s="15" t="inlineStr">
        <is>
          <t>원재료비</t>
        </is>
      </c>
      <c r="AE2" s="14" t="inlineStr">
        <is>
          <t>전조</t>
        </is>
      </c>
      <c r="AF2" s="14" t="inlineStr">
        <is>
          <t>카바</t>
        </is>
      </c>
      <c r="AG2" s="14" t="inlineStr">
        <is>
          <t>격리판</t>
        </is>
      </c>
      <c r="AH2" s="15" t="inlineStr">
        <is>
          <t>주재료비</t>
        </is>
      </c>
      <c r="AI2" s="15" t="inlineStr">
        <is>
          <t>부재료비</t>
        </is>
      </c>
      <c r="AJ2" s="14" t="inlineStr">
        <is>
          <t>포장비</t>
        </is>
      </c>
      <c r="AK2" s="14" t="inlineStr">
        <is>
          <t>부대품</t>
        </is>
      </c>
      <c r="AL2" s="14" t="inlineStr">
        <is>
          <t>부산물공제</t>
        </is>
      </c>
      <c r="AM2" s="15" t="inlineStr">
        <is>
          <t>기타재료비</t>
        </is>
      </c>
      <c r="AN2" s="16" t="inlineStr">
        <is>
          <t>재료비 계</t>
        </is>
      </c>
      <c r="AO2" s="14" t="inlineStr">
        <is>
          <t>변동직접</t>
        </is>
      </c>
      <c r="AP2" s="14" t="inlineStr">
        <is>
          <t>고정직접</t>
        </is>
      </c>
      <c r="AQ2" s="15" t="inlineStr">
        <is>
          <t>직접노무비</t>
        </is>
      </c>
      <c r="AR2" s="15" t="inlineStr">
        <is>
          <t>간접노무비</t>
        </is>
      </c>
      <c r="AS2" s="16" t="inlineStr">
        <is>
          <t>노무비 계</t>
        </is>
      </c>
      <c r="AT2" s="14" t="inlineStr">
        <is>
          <t>변동경비</t>
        </is>
      </c>
      <c r="AU2" s="14" t="inlineStr">
        <is>
          <t>고정경비</t>
        </is>
      </c>
      <c r="AV2" s="14" t="inlineStr">
        <is>
          <t>외주가공비</t>
        </is>
      </c>
      <c r="AW2" s="16" t="inlineStr">
        <is>
          <t>경비 계</t>
        </is>
      </c>
      <c r="AX2" s="16" t="inlineStr">
        <is>
          <t>기타매출원가</t>
        </is>
      </c>
      <c r="AY2" s="16" t="inlineStr">
        <is>
          <t>실제매출원가</t>
        </is>
      </c>
      <c r="AZ2" s="12" t="inlineStr">
        <is>
          <t>실제매출원가조정</t>
        </is>
      </c>
      <c r="BA2" s="13" t="inlineStr">
        <is>
          <t>매출원가(조정전)</t>
        </is>
      </c>
      <c r="BB2" s="12" t="inlineStr">
        <is>
          <t>기획팀-원가조정</t>
        </is>
      </c>
      <c r="BC2" s="14" t="inlineStr">
        <is>
          <t>매출원가(최종마감)</t>
        </is>
      </c>
      <c r="BD2" s="17" t="inlineStr">
        <is>
          <t>차량유지비</t>
        </is>
      </c>
      <c r="BE2" s="17" t="inlineStr">
        <is>
          <t>운반비</t>
        </is>
      </c>
      <c r="BF2" s="17" t="inlineStr">
        <is>
          <t>수출비용</t>
        </is>
      </c>
      <c r="BG2" s="17" t="inlineStr">
        <is>
          <t>시험설치비</t>
        </is>
      </c>
      <c r="BH2" s="17" t="inlineStr">
        <is>
          <t>판매보증비</t>
        </is>
      </c>
      <c r="BI2" s="17" t="inlineStr">
        <is>
          <t>불량제품손실</t>
        </is>
      </c>
      <c r="BJ2" s="17" t="inlineStr">
        <is>
          <t>해상운임</t>
        </is>
      </c>
      <c r="BK2" s="14" t="inlineStr">
        <is>
          <t>변동판관비</t>
        </is>
      </c>
      <c r="BL2" s="17" t="inlineStr">
        <is>
          <t>판관인건비</t>
        </is>
      </c>
      <c r="BM2" s="17" t="inlineStr">
        <is>
          <t>복리후생비</t>
        </is>
      </c>
      <c r="BN2" s="17" t="inlineStr">
        <is>
          <t>접대비</t>
        </is>
      </c>
      <c r="BO2" s="17" t="inlineStr">
        <is>
          <t>지급수수료</t>
        </is>
      </c>
      <c r="BP2" s="17" t="inlineStr">
        <is>
          <t>기타-판관비</t>
        </is>
      </c>
      <c r="BQ2" s="14" t="inlineStr">
        <is>
          <t>고정판관비</t>
        </is>
      </c>
      <c r="BR2" s="13" t="inlineStr">
        <is>
          <t>판관비(조정전)</t>
        </is>
      </c>
      <c r="BS2" s="12" t="inlineStr">
        <is>
          <t>기획팀-판관비조정</t>
        </is>
      </c>
      <c r="BT2" s="14" t="inlineStr">
        <is>
          <t>판관비(최종마감)</t>
        </is>
      </c>
      <c r="BU2" s="13" t="inlineStr">
        <is>
          <t>영업이익(조정전)</t>
        </is>
      </c>
      <c r="BV2" s="14" t="inlineStr">
        <is>
          <t>영업이익(최종마감)</t>
        </is>
      </c>
      <c r="BW2" s="13" t="inlineStr">
        <is>
          <t>매출수량</t>
        </is>
      </c>
      <c r="BX2" s="13" t="inlineStr">
        <is>
          <t>재고실사차이</t>
        </is>
      </c>
      <c r="BY2" s="18" t="inlineStr">
        <is>
          <t>수량(22.9cell)</t>
        </is>
      </c>
    </row>
    <row r="3">
      <c r="A3" s="19">
        <f>RIGHT('실적 Raw Data'!C3,4)&amp;"년"</f>
        <v/>
      </c>
      <c r="B3" s="19">
        <f>TRIM(MID('실적 Raw Data'!C3,9,4))</f>
        <v/>
      </c>
      <c r="C3" s="20">
        <f>IF(LEFT('실적 Raw Data'!A3,5)*1=20313,"차량",IF(LEFT('실적 Raw Data'!A3,5)*1=20314,"차량",IF(LEFT('실적 Raw Data'!A3,5)*1=20342,"산전","산전")))</f>
        <v/>
      </c>
      <c r="D3" s="19">
        <f>IF(LEFT('실적 Raw Data'!A3,5)*1=20342,"모티브",IF(LEFT('실적 Raw Data'!A3,5)*1=20345,"고정형",IF(LEFT('실적 Raw Data'!A3,5)*1=20313,"차량대리점","차량OE")))</f>
        <v/>
      </c>
      <c r="E3" s="21">
        <f>VLOOKUP($D3&amp;$H3,[1]지점코드!$A:$F,4,0)</f>
        <v/>
      </c>
      <c r="F3" s="21">
        <f>VLOOKUP($D3&amp;$H3,[1]지점코드!$A:$F,5,0)</f>
        <v/>
      </c>
      <c r="G3" s="21">
        <f>VLOOKUP($D3&amp;$H3,[1]지점코드!$A:$F,6,0)</f>
        <v/>
      </c>
      <c r="H3" s="19">
        <f>LEFT('실적 Raw Data'!E3,7)</f>
        <v/>
      </c>
      <c r="I3" s="19">
        <f>SUBSTITUTE((SUBSTITUTE('실적 Raw Data'!E3,H3,"")),"    ","")</f>
        <v/>
      </c>
      <c r="J3" s="19">
        <f>TRIM(LEFT('실적 Raw Data'!B3,11))</f>
        <v/>
      </c>
      <c r="K3" s="19">
        <f>TRIM((SUBSTITUTE('실적 Raw Data'!B3,J3,"")))</f>
        <v/>
      </c>
      <c r="L3" s="22">
        <f>IF(D3="모티브",VLOOKUP(C3&amp;J3,[1]제품분류!$A:$J,4,0),IF(D3="고정형",VLOOKUP(C3&amp;J3,[1]제품분류!$A:$J,4,0),IF(D3="차량대리점",VLOOKUP("차량대리점"&amp;J3,[1]제품분류!$A:$J,4,0),IF(D3="차량OE",VLOOKUP("차량OE"&amp;J3,[1]제품분류!$A:$J,4,0)))))</f>
        <v/>
      </c>
      <c r="M3" s="22">
        <f>IF(D3="모티브",VLOOKUP("산전"&amp;J3,[1]제품분류!$A:$J,5,0),IF(D3="고정형",VLOOKUP(C3&amp;J3,[1]제품분류!$A:$J,5,0),IF(D3="차량대리점",VLOOKUP("차량대리점"&amp;J3,[1]제품분류!$A:$J,5,0),IF(D3="차량OE", VLOOKUP(C3&amp;J3,[1]제품분류!$A:$J,5,0)))))</f>
        <v/>
      </c>
      <c r="N3" s="19">
        <f>IF(D3="모티브",VLOOKUP("산전"&amp;J3,[1]제품분류!$A:$J,6,0),IF(D3="고정형",VLOOKUP("산전"&amp;J3,[1]제품분류!$A:$J,6,0),IF(D3="차량대리점",VLOOKUP("차량대리점"&amp;J3,[1]제품분류!$A:$J,6,0))))</f>
        <v/>
      </c>
      <c r="O3" s="19">
        <f>IF(D3="모티브",VLOOKUP("산전"&amp;J3,[1]제품분류!$A:$J,7,0),IF(D3="고정형",VLOOKUP("산전"&amp;J3,[1]제품분류!$A:$J,7,0),IF(D3="차량대리점",VLOOKUP("차량대리점"&amp;J3,[1]제품분류!$A:$J,7,0),IF(D3="차량OE", VLOOKUP(D3&amp;J3,[1]제품분류!$A:$J,7,0)))))</f>
        <v/>
      </c>
      <c r="P3" s="19">
        <f>IF(D3="모티브",VLOOKUP("산전"&amp;J3,[1]제품분류!$A:$J,8,0),IF(D3="고정형",VLOOKUP("산전"&amp;J3,[1]제품분류!$A:$J,8,0),IF(D3="차량대리점",VLOOKUP("차량대리점"&amp;J3,[1]제품분류!$A:$J,8,0),IF(D3="차량OE", VLOOKUP(D3&amp;J3,[1]제품분류!$A:$J,8,0)))))</f>
        <v/>
      </c>
      <c r="Q3" s="34">
        <f>+'실적 Raw Data'!BN3</f>
        <v/>
      </c>
      <c r="R3" s="34">
        <f>+'실적 Raw Data'!BO3</f>
        <v/>
      </c>
      <c r="S3" s="34">
        <f>+T3-Q3-R3</f>
        <v/>
      </c>
      <c r="T3" s="35">
        <f>'실적 Raw Data'!H3</f>
        <v/>
      </c>
      <c r="U3" s="35">
        <f>'실적 Raw Data'!I3</f>
        <v/>
      </c>
      <c r="V3" s="35">
        <f>+'실적 Raw Data'!R3</f>
        <v/>
      </c>
      <c r="W3" s="35">
        <f>'실적 Raw Data'!J3</f>
        <v/>
      </c>
      <c r="X3" s="35">
        <f>'실적 Raw Data'!F3</f>
        <v/>
      </c>
      <c r="Y3" s="35">
        <f>+'실적 Raw Data'!AV3</f>
        <v/>
      </c>
      <c r="Z3" s="35">
        <f>+'실적 Raw Data'!AW3</f>
        <v/>
      </c>
      <c r="AA3" s="35">
        <f>+'실적 Raw Data'!AX3</f>
        <v/>
      </c>
      <c r="AB3" s="35">
        <f>+'실적 Raw Data'!AY3</f>
        <v/>
      </c>
      <c r="AC3" s="35">
        <f>+'실적 Raw Data'!AZ3</f>
        <v/>
      </c>
      <c r="AD3" s="35">
        <f>+Y3+Z3+AA3+AB3+AC3</f>
        <v/>
      </c>
      <c r="AE3" s="35">
        <f>+'실적 Raw Data'!BA3</f>
        <v/>
      </c>
      <c r="AF3" s="35">
        <f>+'실적 Raw Data'!BB3</f>
        <v/>
      </c>
      <c r="AG3" s="35">
        <f>+'실적 Raw Data'!BC3</f>
        <v/>
      </c>
      <c r="AH3" s="35">
        <f>+AE3+AF3+AG3</f>
        <v/>
      </c>
      <c r="AI3" s="35">
        <f>+'실적 Raw Data'!BD3</f>
        <v/>
      </c>
      <c r="AJ3" s="35">
        <f>+'실적 Raw Data'!BE3</f>
        <v/>
      </c>
      <c r="AK3" s="35">
        <f>+'실적 Raw Data'!BF3</f>
        <v/>
      </c>
      <c r="AL3" s="35">
        <f>+'실적 Raw Data'!BG3</f>
        <v/>
      </c>
      <c r="AM3" s="35">
        <f>+AJ3+AK3+AL3</f>
        <v/>
      </c>
      <c r="AN3" s="35">
        <f>+AD3+AH3+AI3+AM3</f>
        <v/>
      </c>
      <c r="AO3" s="35">
        <f>+'실적 Raw Data'!BH3</f>
        <v/>
      </c>
      <c r="AP3" s="36">
        <f>+'실적 Raw Data'!BJ3</f>
        <v/>
      </c>
      <c r="AQ3" s="35">
        <f>+AO3+AP3</f>
        <v/>
      </c>
      <c r="AR3" s="35">
        <f>+'실적 Raw Data'!BK3</f>
        <v/>
      </c>
      <c r="AS3" s="35">
        <f>+AQ3+AR3</f>
        <v/>
      </c>
      <c r="AT3" s="35">
        <f>+'실적 Raw Data'!BI3</f>
        <v/>
      </c>
      <c r="AU3" s="35">
        <f>+'실적 Raw Data'!BL3</f>
        <v/>
      </c>
      <c r="AV3" s="35">
        <f>+'실적 Raw Data'!BM3</f>
        <v/>
      </c>
      <c r="AW3" s="35">
        <f>SUM(AT3:AV3)</f>
        <v/>
      </c>
      <c r="AX3" s="35">
        <f>+AY3-(+AW3+AS3+AN3)+BX3</f>
        <v/>
      </c>
      <c r="AY3" s="35">
        <f>+'실적 Raw Data'!AT3</f>
        <v/>
      </c>
      <c r="AZ3" s="35">
        <f>+'실적 Raw Data'!X3+'실적 Raw Data'!Y3+'실적 Raw Data'!Z3</f>
        <v/>
      </c>
      <c r="BA3" s="35">
        <f>+'실적 Raw Data'!S3</f>
        <v/>
      </c>
      <c r="BB3" s="35">
        <f>'실적 Raw Data'!W3</f>
        <v/>
      </c>
      <c r="BC3" s="35">
        <f>+'실적 Raw Data'!G3</f>
        <v/>
      </c>
      <c r="BD3" s="35">
        <f>+'실적 Raw Data'!CS3</f>
        <v/>
      </c>
      <c r="BE3" s="35">
        <f>+'실적 Raw Data'!CT3</f>
        <v/>
      </c>
      <c r="BF3" s="35">
        <f>+'실적 Raw Data'!CW3</f>
        <v/>
      </c>
      <c r="BG3" s="35">
        <f>+'실적 Raw Data'!DE3</f>
        <v/>
      </c>
      <c r="BH3" s="35">
        <f>+'실적 Raw Data'!DH3</f>
        <v/>
      </c>
      <c r="BI3" s="35">
        <f>+'실적 Raw Data'!DJ3</f>
        <v/>
      </c>
      <c r="BJ3" s="35">
        <f>+'실적 Raw Data'!DL3</f>
        <v/>
      </c>
      <c r="BK3" s="35">
        <f>SUM(BD3:BJ3)</f>
        <v/>
      </c>
      <c r="BL3" s="35">
        <f>+'실적 Raw Data'!BY3+'실적 Raw Data'!BZ3+'실적 Raw Data'!CA3+'실적 Raw Data'!CB3+'실적 Raw Data'!CC3+'실적 Raw Data'!CD3+'실적 Raw Data'!CE3+'실적 Raw Data'!CF3</f>
        <v/>
      </c>
      <c r="BM3" s="35">
        <f>+'실적 Raw Data'!CH3</f>
        <v/>
      </c>
      <c r="BN3" s="35">
        <f>'실적 Raw Data'!CR3</f>
        <v/>
      </c>
      <c r="BO3" s="35">
        <f>+'실적 Raw Data'!CU3</f>
        <v/>
      </c>
      <c r="BP3" s="35">
        <f>+BQ3-BL3-BM3-BN3-BO3</f>
        <v/>
      </c>
      <c r="BQ3" s="35">
        <f>+BR3-BK3</f>
        <v/>
      </c>
      <c r="BR3" s="35">
        <f>+'실적 Raw Data'!T3</f>
        <v/>
      </c>
      <c r="BS3" s="35">
        <f>BT3-BR3</f>
        <v/>
      </c>
      <c r="BT3" s="35">
        <f>+'실적 Raw Data'!BP3</f>
        <v/>
      </c>
      <c r="BU3" s="35">
        <f>+V3-BA3-BR3</f>
        <v/>
      </c>
      <c r="BV3" s="35">
        <f>+X3-BC3-BT3</f>
        <v/>
      </c>
      <c r="BW3" s="35">
        <f>IF(OR(LEFT(J4,1)="R", LEFT(J4,3)="QZZ"),0, '실적 Raw Data'!M3)</f>
        <v/>
      </c>
      <c r="BX3" s="35">
        <f>'실적 Raw Data'!V3</f>
        <v/>
      </c>
      <c r="BY3" s="27">
        <f>IF(OR(N4="V전지:SET",N4="V전지:set/oe"),BW3*22.9,BW3)</f>
        <v/>
      </c>
    </row>
    <row r="4">
      <c r="A4" s="19">
        <f>RIGHT('실적 Raw Data'!C4,4)&amp;"년"</f>
        <v/>
      </c>
      <c r="B4" s="19">
        <f>TRIM(MID('실적 Raw Data'!C4,9,4))</f>
        <v/>
      </c>
      <c r="C4" s="20">
        <f>IF(LEFT('실적 Raw Data'!A4,5)*1=20313,"차량",IF(LEFT('실적 Raw Data'!A4,5)*1=20314,"차량",IF(LEFT('실적 Raw Data'!A4,5)*1=20342,"산전","산전")))</f>
        <v/>
      </c>
      <c r="D4" s="19">
        <f>IF(LEFT('실적 Raw Data'!A4,5)*1=20342,"모티브",IF(LEFT('실적 Raw Data'!A4,5)*1=20345,"고정형",IF(LEFT('실적 Raw Data'!A4,5)*1=20313,"차량대리점","차량OE")))</f>
        <v/>
      </c>
      <c r="E4" s="21">
        <f>VLOOKUP($D4&amp;$H4,[1]지점코드!$A:$F,4,0)</f>
        <v/>
      </c>
      <c r="F4" s="21">
        <f>VLOOKUP($D4&amp;$H4,[1]지점코드!$A:$F,5,0)</f>
        <v/>
      </c>
      <c r="G4" s="21">
        <f>VLOOKUP($D4&amp;$H4,[1]지점코드!$A:$F,6,0)</f>
        <v/>
      </c>
      <c r="H4" s="19">
        <f>LEFT('실적 Raw Data'!E4,7)</f>
        <v/>
      </c>
      <c r="I4" s="19">
        <f>SUBSTITUTE((SUBSTITUTE('실적 Raw Data'!E4,H4,"")),"    ","")</f>
        <v/>
      </c>
      <c r="J4" s="19">
        <f>TRIM(LEFT('실적 Raw Data'!B4,11))</f>
        <v/>
      </c>
      <c r="K4" s="19">
        <f>TRIM((SUBSTITUTE('실적 Raw Data'!B4,J4,"")))</f>
        <v/>
      </c>
      <c r="L4" s="22">
        <f>IF(D4="모티브",VLOOKUP(C4&amp;J4,[1]제품분류!$A:$J,4,0),IF(D4="고정형",VLOOKUP(C4&amp;J4,[1]제품분류!$A:$J,4,0),IF(D4="차량대리점",VLOOKUP("차량대리점"&amp;J4,[1]제품분류!$A:$J,4,0),IF(D4="차량OE",VLOOKUP("차량OE"&amp;J4,[1]제품분류!$A:$J,4,0)))))</f>
        <v/>
      </c>
      <c r="M4" s="22">
        <f>IF(D4="모티브",VLOOKUP("산전"&amp;J4,[1]제품분류!$A:$J,5,0),IF(D4="고정형",VLOOKUP(C4&amp;J4,[1]제품분류!$A:$J,5,0),IF(D4="차량대리점",VLOOKUP("차량대리점"&amp;J4,[1]제품분류!$A:$J,5,0),IF(D4="차량OE", VLOOKUP(C4&amp;J4,[1]제품분류!$A:$J,5,0)))))</f>
        <v/>
      </c>
      <c r="N4" s="19">
        <f>IF(D4="모티브",VLOOKUP("산전"&amp;J4,[1]제품분류!$A:$J,6,0),IF(D4="고정형",VLOOKUP("산전"&amp;J4,[1]제품분류!$A:$J,6,0),IF(D4="차량대리점",VLOOKUP("차량대리점"&amp;J4,[1]제품분류!$A:$J,6,0))))</f>
        <v/>
      </c>
      <c r="O4" s="19">
        <f>IF(D4="모티브",VLOOKUP("산전"&amp;J4,[1]제품분류!$A:$J,7,0),IF(D4="고정형",VLOOKUP("산전"&amp;J4,[1]제품분류!$A:$J,7,0),IF(D4="차량대리점",VLOOKUP("차량대리점"&amp;J4,[1]제품분류!$A:$J,7,0),IF(D4="차량OE", VLOOKUP(D4&amp;J4,[1]제품분류!$A:$J,7,0)))))</f>
        <v/>
      </c>
      <c r="P4" s="19">
        <f>IF(D4="모티브",VLOOKUP("산전"&amp;J4,[1]제품분류!$A:$J,8,0),IF(D4="고정형",VLOOKUP("산전"&amp;J4,[1]제품분류!$A:$J,8,0),IF(D4="차량대리점",VLOOKUP("차량대리점"&amp;J4,[1]제품분류!$A:$J,8,0),IF(D4="차량OE", VLOOKUP(D4&amp;J4,[1]제품분류!$A:$J,8,0)))))</f>
        <v/>
      </c>
      <c r="Q4" s="34">
        <f>+'실적 Raw Data'!BN4</f>
        <v/>
      </c>
      <c r="R4" s="34">
        <f>+'실적 Raw Data'!BO4</f>
        <v/>
      </c>
      <c r="S4" s="34">
        <f>+T4-Q4-R4</f>
        <v/>
      </c>
      <c r="T4" s="35">
        <f>'실적 Raw Data'!H4</f>
        <v/>
      </c>
      <c r="U4" s="35">
        <f>'실적 Raw Data'!I4</f>
        <v/>
      </c>
      <c r="V4" s="35">
        <f>+'실적 Raw Data'!R4</f>
        <v/>
      </c>
      <c r="W4" s="35">
        <f>'실적 Raw Data'!J4</f>
        <v/>
      </c>
      <c r="X4" s="35">
        <f>'실적 Raw Data'!F4</f>
        <v/>
      </c>
      <c r="Y4" s="35">
        <f>+'실적 Raw Data'!AV4</f>
        <v/>
      </c>
      <c r="Z4" s="35">
        <f>+'실적 Raw Data'!AW4</f>
        <v/>
      </c>
      <c r="AA4" s="35">
        <f>+'실적 Raw Data'!AX4</f>
        <v/>
      </c>
      <c r="AB4" s="35">
        <f>+'실적 Raw Data'!AY4</f>
        <v/>
      </c>
      <c r="AC4" s="35">
        <f>+'실적 Raw Data'!AZ4</f>
        <v/>
      </c>
      <c r="AD4" s="35">
        <f>+Y4+Z4+AA4+AB4+AC4</f>
        <v/>
      </c>
      <c r="AE4" s="35">
        <f>+'실적 Raw Data'!BA4</f>
        <v/>
      </c>
      <c r="AF4" s="35">
        <f>+'실적 Raw Data'!BB4</f>
        <v/>
      </c>
      <c r="AG4" s="35">
        <f>+'실적 Raw Data'!BC4</f>
        <v/>
      </c>
      <c r="AH4" s="35">
        <f>+AE4+AF4+AG4</f>
        <v/>
      </c>
      <c r="AI4" s="35">
        <f>+'실적 Raw Data'!BD4</f>
        <v/>
      </c>
      <c r="AJ4" s="35">
        <f>+'실적 Raw Data'!BE4</f>
        <v/>
      </c>
      <c r="AK4" s="35">
        <f>+'실적 Raw Data'!BF4</f>
        <v/>
      </c>
      <c r="AL4" s="35">
        <f>+'실적 Raw Data'!BG4</f>
        <v/>
      </c>
      <c r="AM4" s="35">
        <f>+AJ4+AK4+AL4</f>
        <v/>
      </c>
      <c r="AN4" s="35">
        <f>+AD4+AH4+AI4+AM4</f>
        <v/>
      </c>
      <c r="AO4" s="35">
        <f>+'실적 Raw Data'!BH4</f>
        <v/>
      </c>
      <c r="AP4" s="36">
        <f>+'실적 Raw Data'!BJ4</f>
        <v/>
      </c>
      <c r="AQ4" s="35">
        <f>+AO4+AP4</f>
        <v/>
      </c>
      <c r="AR4" s="35">
        <f>+'실적 Raw Data'!BK4</f>
        <v/>
      </c>
      <c r="AS4" s="35">
        <f>+AQ4+AR4</f>
        <v/>
      </c>
      <c r="AT4" s="35">
        <f>+'실적 Raw Data'!BI4</f>
        <v/>
      </c>
      <c r="AU4" s="35">
        <f>+'실적 Raw Data'!BL4</f>
        <v/>
      </c>
      <c r="AV4" s="35">
        <f>+'실적 Raw Data'!BM4</f>
        <v/>
      </c>
      <c r="AW4" s="35">
        <f>SUM(AT4:AV4)</f>
        <v/>
      </c>
      <c r="AX4" s="35">
        <f>+AY4-(+AW4+AS4+AN4)+BX4</f>
        <v/>
      </c>
      <c r="AY4" s="35">
        <f>+'실적 Raw Data'!AT4</f>
        <v/>
      </c>
      <c r="AZ4" s="35">
        <f>+'실적 Raw Data'!X4+'실적 Raw Data'!Y4+'실적 Raw Data'!Z4</f>
        <v/>
      </c>
      <c r="BA4" s="35">
        <f>+'실적 Raw Data'!S4</f>
        <v/>
      </c>
      <c r="BB4" s="35">
        <f>'실적 Raw Data'!W4</f>
        <v/>
      </c>
      <c r="BC4" s="35">
        <f>+'실적 Raw Data'!G4</f>
        <v/>
      </c>
      <c r="BD4" s="35">
        <f>+'실적 Raw Data'!CS4</f>
        <v/>
      </c>
      <c r="BE4" s="35">
        <f>+'실적 Raw Data'!CT4</f>
        <v/>
      </c>
      <c r="BF4" s="35">
        <f>+'실적 Raw Data'!CW4</f>
        <v/>
      </c>
      <c r="BG4" s="35">
        <f>+'실적 Raw Data'!DE4</f>
        <v/>
      </c>
      <c r="BH4" s="35">
        <f>+'실적 Raw Data'!DH4</f>
        <v/>
      </c>
      <c r="BI4" s="35">
        <f>+'실적 Raw Data'!DJ4</f>
        <v/>
      </c>
      <c r="BJ4" s="35">
        <f>+'실적 Raw Data'!DL4</f>
        <v/>
      </c>
      <c r="BK4" s="35">
        <f>SUM(BD4:BJ4)</f>
        <v/>
      </c>
      <c r="BL4" s="35">
        <f>+'실적 Raw Data'!BY4+'실적 Raw Data'!BZ4+'실적 Raw Data'!CA4+'실적 Raw Data'!CB4+'실적 Raw Data'!CC4+'실적 Raw Data'!CD4+'실적 Raw Data'!CE4+'실적 Raw Data'!CF4</f>
        <v/>
      </c>
      <c r="BM4" s="35">
        <f>+'실적 Raw Data'!CH4</f>
        <v/>
      </c>
      <c r="BN4" s="35">
        <f>'실적 Raw Data'!CR4</f>
        <v/>
      </c>
      <c r="BO4" s="35">
        <f>+'실적 Raw Data'!CU4</f>
        <v/>
      </c>
      <c r="BP4" s="35">
        <f>+BQ4-BL4-BM4-BN4-BO4</f>
        <v/>
      </c>
      <c r="BQ4" s="35">
        <f>+BR4-BK4</f>
        <v/>
      </c>
      <c r="BR4" s="35">
        <f>+'실적 Raw Data'!T4</f>
        <v/>
      </c>
      <c r="BS4" s="35">
        <f>BT4-BR4</f>
        <v/>
      </c>
      <c r="BT4" s="35">
        <f>+'실적 Raw Data'!BP4</f>
        <v/>
      </c>
      <c r="BU4" s="35">
        <f>+V4-BA4-BR4</f>
        <v/>
      </c>
      <c r="BV4" s="35">
        <f>+X4-BC4-BT4</f>
        <v/>
      </c>
      <c r="BW4" s="35">
        <f>IF(OR(LEFT(J5,1)="R", LEFT(J5,3)="QZZ"),0, '실적 Raw Data'!M4)</f>
        <v/>
      </c>
      <c r="BX4" s="35">
        <f>'실적 Raw Data'!V4</f>
        <v/>
      </c>
      <c r="BY4" s="27">
        <f>IF(OR(N5="V전지:SET",N5="V전지:set/oe"),BW4*22.9,BW4)</f>
        <v/>
      </c>
    </row>
    <row r="5">
      <c r="A5" s="19">
        <f>RIGHT('실적 Raw Data'!C5,4)&amp;"년"</f>
        <v/>
      </c>
      <c r="B5" s="19">
        <f>TRIM(MID('실적 Raw Data'!C5,9,4))</f>
        <v/>
      </c>
      <c r="C5" s="20">
        <f>IF(LEFT('실적 Raw Data'!A5,5)*1=20313,"차량",IF(LEFT('실적 Raw Data'!A5,5)*1=20314,"차량",IF(LEFT('실적 Raw Data'!A5,5)*1=20342,"산전","산전")))</f>
        <v/>
      </c>
      <c r="D5" s="19">
        <f>IF(LEFT('실적 Raw Data'!A5,5)*1=20342,"모티브",IF(LEFT('실적 Raw Data'!A5,5)*1=20345,"고정형",IF(LEFT('실적 Raw Data'!A5,5)*1=20313,"차량대리점","차량OE")))</f>
        <v/>
      </c>
      <c r="E5" s="21">
        <f>VLOOKUP($D5&amp;$H5,[1]지점코드!$A:$F,4,0)</f>
        <v/>
      </c>
      <c r="F5" s="21">
        <f>VLOOKUP($D5&amp;$H5,[1]지점코드!$A:$F,5,0)</f>
        <v/>
      </c>
      <c r="G5" s="21">
        <f>VLOOKUP($D5&amp;$H5,[1]지점코드!$A:$F,6,0)</f>
        <v/>
      </c>
      <c r="H5" s="19">
        <f>LEFT('실적 Raw Data'!E5,7)</f>
        <v/>
      </c>
      <c r="I5" s="19">
        <f>SUBSTITUTE((SUBSTITUTE('실적 Raw Data'!E5,H5,"")),"    ","")</f>
        <v/>
      </c>
      <c r="J5" s="19">
        <f>TRIM(LEFT('실적 Raw Data'!B5,11))</f>
        <v/>
      </c>
      <c r="K5" s="19">
        <f>TRIM((SUBSTITUTE('실적 Raw Data'!B5,J5,"")))</f>
        <v/>
      </c>
      <c r="L5" s="22">
        <f>IF(D5="모티브",VLOOKUP(C5&amp;J5,[1]제품분류!$A:$J,4,0),IF(D5="고정형",VLOOKUP(C5&amp;J5,[1]제품분류!$A:$J,4,0),IF(D5="차량대리점",VLOOKUP("차량대리점"&amp;J5,[1]제품분류!$A:$J,4,0),IF(D5="차량OE",VLOOKUP("차량OE"&amp;J5,[1]제품분류!$A:$J,4,0)))))</f>
        <v/>
      </c>
      <c r="M5" s="22">
        <f>IF(D5="모티브",VLOOKUP("산전"&amp;J5,[1]제품분류!$A:$J,5,0),IF(D5="고정형",VLOOKUP(C5&amp;J5,[1]제품분류!$A:$J,5,0),IF(D5="차량대리점",VLOOKUP("차량대리점"&amp;J5,[1]제품분류!$A:$J,5,0),IF(D5="차량OE", VLOOKUP(C5&amp;J5,[1]제품분류!$A:$J,5,0)))))</f>
        <v/>
      </c>
      <c r="N5" s="19">
        <f>IF(D5="모티브",VLOOKUP("산전"&amp;J5,[1]제품분류!$A:$J,6,0),IF(D5="고정형",VLOOKUP("산전"&amp;J5,[1]제품분류!$A:$J,6,0),IF(D5="차량대리점",VLOOKUP("차량대리점"&amp;J5,[1]제품분류!$A:$J,6,0))))</f>
        <v/>
      </c>
      <c r="O5" s="19">
        <f>IF(D5="모티브",VLOOKUP("산전"&amp;J5,[1]제품분류!$A:$J,7,0),IF(D5="고정형",VLOOKUP("산전"&amp;J5,[1]제품분류!$A:$J,7,0),IF(D5="차량대리점",VLOOKUP("차량대리점"&amp;J5,[1]제품분류!$A:$J,7,0),IF(D5="차량OE", VLOOKUP(D5&amp;J5,[1]제품분류!$A:$J,7,0)))))</f>
        <v/>
      </c>
      <c r="P5" s="19">
        <f>IF(D5="모티브",VLOOKUP("산전"&amp;J5,[1]제품분류!$A:$J,8,0),IF(D5="고정형",VLOOKUP("산전"&amp;J5,[1]제품분류!$A:$J,8,0),IF(D5="차량대리점",VLOOKUP("차량대리점"&amp;J5,[1]제품분류!$A:$J,8,0),IF(D5="차량OE", VLOOKUP(D5&amp;J5,[1]제품분류!$A:$J,8,0)))))</f>
        <v/>
      </c>
      <c r="Q5" s="34">
        <f>+'실적 Raw Data'!BN5</f>
        <v/>
      </c>
      <c r="R5" s="34">
        <f>+'실적 Raw Data'!BO5</f>
        <v/>
      </c>
      <c r="S5" s="34">
        <f>+T5-Q5-R5</f>
        <v/>
      </c>
      <c r="T5" s="35">
        <f>'실적 Raw Data'!H5</f>
        <v/>
      </c>
      <c r="U5" s="35">
        <f>'실적 Raw Data'!I5</f>
        <v/>
      </c>
      <c r="V5" s="35">
        <f>+'실적 Raw Data'!R5</f>
        <v/>
      </c>
      <c r="W5" s="35">
        <f>'실적 Raw Data'!J5</f>
        <v/>
      </c>
      <c r="X5" s="35">
        <f>'실적 Raw Data'!F5</f>
        <v/>
      </c>
      <c r="Y5" s="35">
        <f>+'실적 Raw Data'!AV5</f>
        <v/>
      </c>
      <c r="Z5" s="35">
        <f>+'실적 Raw Data'!AW5</f>
        <v/>
      </c>
      <c r="AA5" s="35">
        <f>+'실적 Raw Data'!AX5</f>
        <v/>
      </c>
      <c r="AB5" s="35">
        <f>+'실적 Raw Data'!AY5</f>
        <v/>
      </c>
      <c r="AC5" s="35">
        <f>+'실적 Raw Data'!AZ5</f>
        <v/>
      </c>
      <c r="AD5" s="35">
        <f>+Y5+Z5+AA5+AB5+AC5</f>
        <v/>
      </c>
      <c r="AE5" s="35">
        <f>+'실적 Raw Data'!BA5</f>
        <v/>
      </c>
      <c r="AF5" s="35">
        <f>+'실적 Raw Data'!BB5</f>
        <v/>
      </c>
      <c r="AG5" s="35">
        <f>+'실적 Raw Data'!BC5</f>
        <v/>
      </c>
      <c r="AH5" s="35">
        <f>+AE5+AF5+AG5</f>
        <v/>
      </c>
      <c r="AI5" s="35">
        <f>+'실적 Raw Data'!BD5</f>
        <v/>
      </c>
      <c r="AJ5" s="35">
        <f>+'실적 Raw Data'!BE5</f>
        <v/>
      </c>
      <c r="AK5" s="35">
        <f>+'실적 Raw Data'!BF5</f>
        <v/>
      </c>
      <c r="AL5" s="35">
        <f>+'실적 Raw Data'!BG5</f>
        <v/>
      </c>
      <c r="AM5" s="35">
        <f>+AJ5+AK5+AL5</f>
        <v/>
      </c>
      <c r="AN5" s="35">
        <f>+AD5+AH5+AI5+AM5</f>
        <v/>
      </c>
      <c r="AO5" s="35">
        <f>+'실적 Raw Data'!BH5</f>
        <v/>
      </c>
      <c r="AP5" s="36">
        <f>+'실적 Raw Data'!BJ5</f>
        <v/>
      </c>
      <c r="AQ5" s="35">
        <f>+AO5+AP5</f>
        <v/>
      </c>
      <c r="AR5" s="35">
        <f>+'실적 Raw Data'!BK5</f>
        <v/>
      </c>
      <c r="AS5" s="35">
        <f>+AQ5+AR5</f>
        <v/>
      </c>
      <c r="AT5" s="35">
        <f>+'실적 Raw Data'!BI5</f>
        <v/>
      </c>
      <c r="AU5" s="35">
        <f>+'실적 Raw Data'!BL5</f>
        <v/>
      </c>
      <c r="AV5" s="35">
        <f>+'실적 Raw Data'!BM5</f>
        <v/>
      </c>
      <c r="AW5" s="35">
        <f>SUM(AT5:AV5)</f>
        <v/>
      </c>
      <c r="AX5" s="35">
        <f>+AY5-(+AW5+AS5+AN5)+BX5</f>
        <v/>
      </c>
      <c r="AY5" s="35">
        <f>+'실적 Raw Data'!AT5</f>
        <v/>
      </c>
      <c r="AZ5" s="35">
        <f>+'실적 Raw Data'!X5+'실적 Raw Data'!Y5+'실적 Raw Data'!Z5</f>
        <v/>
      </c>
      <c r="BA5" s="35">
        <f>+'실적 Raw Data'!S5</f>
        <v/>
      </c>
      <c r="BB5" s="35">
        <f>'실적 Raw Data'!W5</f>
        <v/>
      </c>
      <c r="BC5" s="35">
        <f>+'실적 Raw Data'!G5</f>
        <v/>
      </c>
      <c r="BD5" s="35">
        <f>+'실적 Raw Data'!CS5</f>
        <v/>
      </c>
      <c r="BE5" s="35">
        <f>+'실적 Raw Data'!CT5</f>
        <v/>
      </c>
      <c r="BF5" s="35">
        <f>+'실적 Raw Data'!CW5</f>
        <v/>
      </c>
      <c r="BG5" s="35">
        <f>+'실적 Raw Data'!DE5</f>
        <v/>
      </c>
      <c r="BH5" s="35">
        <f>+'실적 Raw Data'!DH5</f>
        <v/>
      </c>
      <c r="BI5" s="35">
        <f>+'실적 Raw Data'!DJ5</f>
        <v/>
      </c>
      <c r="BJ5" s="35">
        <f>+'실적 Raw Data'!DL5</f>
        <v/>
      </c>
      <c r="BK5" s="35">
        <f>SUM(BD5:BJ5)</f>
        <v/>
      </c>
      <c r="BL5" s="35">
        <f>+'실적 Raw Data'!BY5+'실적 Raw Data'!BZ5+'실적 Raw Data'!CA5+'실적 Raw Data'!CB5+'실적 Raw Data'!CC5+'실적 Raw Data'!CD5+'실적 Raw Data'!CE5+'실적 Raw Data'!CF5</f>
        <v/>
      </c>
      <c r="BM5" s="35">
        <f>+'실적 Raw Data'!CH5</f>
        <v/>
      </c>
      <c r="BN5" s="35">
        <f>'실적 Raw Data'!CR5</f>
        <v/>
      </c>
      <c r="BO5" s="35">
        <f>+'실적 Raw Data'!CU5</f>
        <v/>
      </c>
      <c r="BP5" s="35">
        <f>+BQ5-BL5-BM5-BN5-BO5</f>
        <v/>
      </c>
      <c r="BQ5" s="35">
        <f>+BR5-BK5</f>
        <v/>
      </c>
      <c r="BR5" s="35">
        <f>+'실적 Raw Data'!T5</f>
        <v/>
      </c>
      <c r="BS5" s="35">
        <f>BT5-BR5</f>
        <v/>
      </c>
      <c r="BT5" s="35">
        <f>+'실적 Raw Data'!BP5</f>
        <v/>
      </c>
      <c r="BU5" s="35">
        <f>+V5-BA5-BR5</f>
        <v/>
      </c>
      <c r="BV5" s="35">
        <f>+X5-BC5-BT5</f>
        <v/>
      </c>
      <c r="BW5" s="35">
        <f>IF(OR(LEFT(J6,1)="R", LEFT(J6,3)="QZZ"),0, '실적 Raw Data'!M5)</f>
        <v/>
      </c>
      <c r="BX5" s="35">
        <f>'실적 Raw Data'!V5</f>
        <v/>
      </c>
      <c r="BY5" s="27">
        <f>IF(OR(N6="V전지:SET",N6="V전지:set/oe"),BW5*22.9,BW5)</f>
        <v/>
      </c>
    </row>
    <row r="6">
      <c r="A6" s="19">
        <f>RIGHT('실적 Raw Data'!C6,4)&amp;"년"</f>
        <v/>
      </c>
      <c r="B6" s="19">
        <f>TRIM(MID('실적 Raw Data'!C6,9,4))</f>
        <v/>
      </c>
      <c r="C6" s="20">
        <f>IF(LEFT('실적 Raw Data'!A6,5)*1=20313,"차량",IF(LEFT('실적 Raw Data'!A6,5)*1=20314,"차량",IF(LEFT('실적 Raw Data'!A6,5)*1=20342,"산전","산전")))</f>
        <v/>
      </c>
      <c r="D6" s="19">
        <f>IF(LEFT('실적 Raw Data'!A6,5)*1=20342,"모티브",IF(LEFT('실적 Raw Data'!A6,5)*1=20345,"고정형",IF(LEFT('실적 Raw Data'!A6,5)*1=20313,"차량대리점","차량OE")))</f>
        <v/>
      </c>
      <c r="E6" s="21">
        <f>VLOOKUP($D6&amp;$H6,[1]지점코드!$A:$F,4,0)</f>
        <v/>
      </c>
      <c r="F6" s="21">
        <f>VLOOKUP($D6&amp;$H6,[1]지점코드!$A:$F,5,0)</f>
        <v/>
      </c>
      <c r="G6" s="21">
        <f>VLOOKUP($D6&amp;$H6,[1]지점코드!$A:$F,6,0)</f>
        <v/>
      </c>
      <c r="H6" s="19">
        <f>LEFT('실적 Raw Data'!E6,7)</f>
        <v/>
      </c>
      <c r="I6" s="19">
        <f>SUBSTITUTE((SUBSTITUTE('실적 Raw Data'!E6,H6,"")),"    ","")</f>
        <v/>
      </c>
      <c r="J6" s="19">
        <f>TRIM(LEFT('실적 Raw Data'!B6,11))</f>
        <v/>
      </c>
      <c r="K6" s="19">
        <f>TRIM((SUBSTITUTE('실적 Raw Data'!B6,J6,"")))</f>
        <v/>
      </c>
      <c r="L6" s="22">
        <f>IF(D6="모티브",VLOOKUP(C6&amp;J6,[1]제품분류!$A:$J,4,0),IF(D6="고정형",VLOOKUP(C6&amp;J6,[1]제품분류!$A:$J,4,0),IF(D6="차량대리점",VLOOKUP("차량대리점"&amp;J6,[1]제품분류!$A:$J,4,0),IF(D6="차량OE",VLOOKUP("차량OE"&amp;J6,[1]제품분류!$A:$J,4,0)))))</f>
        <v/>
      </c>
      <c r="M6" s="22">
        <f>IF(D6="모티브",VLOOKUP("산전"&amp;J6,[1]제품분류!$A:$J,5,0),IF(D6="고정형",VLOOKUP(C6&amp;J6,[1]제품분류!$A:$J,5,0),IF(D6="차량대리점",VLOOKUP("차량대리점"&amp;J6,[1]제품분류!$A:$J,5,0),IF(D6="차량OE", VLOOKUP(C6&amp;J6,[1]제품분류!$A:$J,5,0)))))</f>
        <v/>
      </c>
      <c r="N6" s="19">
        <f>IF(D6="모티브",VLOOKUP("산전"&amp;J6,[1]제품분류!$A:$J,6,0),IF(D6="고정형",VLOOKUP("산전"&amp;J6,[1]제품분류!$A:$J,6,0),IF(D6="차량대리점",VLOOKUP("차량대리점"&amp;J6,[1]제품분류!$A:$J,6,0))))</f>
        <v/>
      </c>
      <c r="O6" s="19">
        <f>IF(D6="모티브",VLOOKUP("산전"&amp;J6,[1]제품분류!$A:$J,7,0),IF(D6="고정형",VLOOKUP("산전"&amp;J6,[1]제품분류!$A:$J,7,0),IF(D6="차량대리점",VLOOKUP("차량대리점"&amp;J6,[1]제품분류!$A:$J,7,0),IF(D6="차량OE", VLOOKUP(D6&amp;J6,[1]제품분류!$A:$J,7,0)))))</f>
        <v/>
      </c>
      <c r="P6" s="19">
        <f>IF(D6="모티브",VLOOKUP("산전"&amp;J6,[1]제품분류!$A:$J,8,0),IF(D6="고정형",VLOOKUP("산전"&amp;J6,[1]제품분류!$A:$J,8,0),IF(D6="차량대리점",VLOOKUP("차량대리점"&amp;J6,[1]제품분류!$A:$J,8,0),IF(D6="차량OE", VLOOKUP(D6&amp;J6,[1]제품분류!$A:$J,8,0)))))</f>
        <v/>
      </c>
      <c r="Q6" s="34">
        <f>+'실적 Raw Data'!BN6</f>
        <v/>
      </c>
      <c r="R6" s="34">
        <f>+'실적 Raw Data'!BO6</f>
        <v/>
      </c>
      <c r="S6" s="34">
        <f>+T6-Q6-R6</f>
        <v/>
      </c>
      <c r="T6" s="35">
        <f>'실적 Raw Data'!H6</f>
        <v/>
      </c>
      <c r="U6" s="35">
        <f>'실적 Raw Data'!I6</f>
        <v/>
      </c>
      <c r="V6" s="35">
        <f>+'실적 Raw Data'!R6</f>
        <v/>
      </c>
      <c r="W6" s="35">
        <f>'실적 Raw Data'!J6</f>
        <v/>
      </c>
      <c r="X6" s="35">
        <f>'실적 Raw Data'!F6</f>
        <v/>
      </c>
      <c r="Y6" s="35">
        <f>+'실적 Raw Data'!AV6</f>
        <v/>
      </c>
      <c r="Z6" s="35">
        <f>+'실적 Raw Data'!AW6</f>
        <v/>
      </c>
      <c r="AA6" s="35">
        <f>+'실적 Raw Data'!AX6</f>
        <v/>
      </c>
      <c r="AB6" s="35">
        <f>+'실적 Raw Data'!AY6</f>
        <v/>
      </c>
      <c r="AC6" s="35">
        <f>+'실적 Raw Data'!AZ6</f>
        <v/>
      </c>
      <c r="AD6" s="35">
        <f>+Y6+Z6+AA6+AB6+AC6</f>
        <v/>
      </c>
      <c r="AE6" s="35">
        <f>+'실적 Raw Data'!BA6</f>
        <v/>
      </c>
      <c r="AF6" s="35">
        <f>+'실적 Raw Data'!BB6</f>
        <v/>
      </c>
      <c r="AG6" s="35">
        <f>+'실적 Raw Data'!BC6</f>
        <v/>
      </c>
      <c r="AH6" s="35">
        <f>+AE6+AF6+AG6</f>
        <v/>
      </c>
      <c r="AI6" s="35">
        <f>+'실적 Raw Data'!BD6</f>
        <v/>
      </c>
      <c r="AJ6" s="35">
        <f>+'실적 Raw Data'!BE6</f>
        <v/>
      </c>
      <c r="AK6" s="35">
        <f>+'실적 Raw Data'!BF6</f>
        <v/>
      </c>
      <c r="AL6" s="35">
        <f>+'실적 Raw Data'!BG6</f>
        <v/>
      </c>
      <c r="AM6" s="35">
        <f>+AJ6+AK6+AL6</f>
        <v/>
      </c>
      <c r="AN6" s="35">
        <f>+AD6+AH6+AI6+AM6</f>
        <v/>
      </c>
      <c r="AO6" s="35">
        <f>+'실적 Raw Data'!BH6</f>
        <v/>
      </c>
      <c r="AP6" s="36">
        <f>+'실적 Raw Data'!BJ6</f>
        <v/>
      </c>
      <c r="AQ6" s="35">
        <f>+AO6+AP6</f>
        <v/>
      </c>
      <c r="AR6" s="35">
        <f>+'실적 Raw Data'!BK6</f>
        <v/>
      </c>
      <c r="AS6" s="35">
        <f>+AQ6+AR6</f>
        <v/>
      </c>
      <c r="AT6" s="35">
        <f>+'실적 Raw Data'!BI6</f>
        <v/>
      </c>
      <c r="AU6" s="35">
        <f>+'실적 Raw Data'!BL6</f>
        <v/>
      </c>
      <c r="AV6" s="35">
        <f>+'실적 Raw Data'!BM6</f>
        <v/>
      </c>
      <c r="AW6" s="35">
        <f>SUM(AT6:AV6)</f>
        <v/>
      </c>
      <c r="AX6" s="35">
        <f>+AY6-(+AW6+AS6+AN6)+BX6</f>
        <v/>
      </c>
      <c r="AY6" s="35">
        <f>+'실적 Raw Data'!AT6</f>
        <v/>
      </c>
      <c r="AZ6" s="35">
        <f>+'실적 Raw Data'!X6+'실적 Raw Data'!Y6+'실적 Raw Data'!Z6</f>
        <v/>
      </c>
      <c r="BA6" s="35">
        <f>+'실적 Raw Data'!S6</f>
        <v/>
      </c>
      <c r="BB6" s="35">
        <f>'실적 Raw Data'!W6</f>
        <v/>
      </c>
      <c r="BC6" s="35">
        <f>+'실적 Raw Data'!G6</f>
        <v/>
      </c>
      <c r="BD6" s="35">
        <f>+'실적 Raw Data'!CS6</f>
        <v/>
      </c>
      <c r="BE6" s="35">
        <f>+'실적 Raw Data'!CT6</f>
        <v/>
      </c>
      <c r="BF6" s="35">
        <f>+'실적 Raw Data'!CW6</f>
        <v/>
      </c>
      <c r="BG6" s="35">
        <f>+'실적 Raw Data'!DE6</f>
        <v/>
      </c>
      <c r="BH6" s="35">
        <f>+'실적 Raw Data'!DH6</f>
        <v/>
      </c>
      <c r="BI6" s="35">
        <f>+'실적 Raw Data'!DJ6</f>
        <v/>
      </c>
      <c r="BJ6" s="35">
        <f>+'실적 Raw Data'!DL6</f>
        <v/>
      </c>
      <c r="BK6" s="35">
        <f>SUM(BD6:BJ6)</f>
        <v/>
      </c>
      <c r="BL6" s="35">
        <f>+'실적 Raw Data'!BY6+'실적 Raw Data'!BZ6+'실적 Raw Data'!CA6+'실적 Raw Data'!CB6+'실적 Raw Data'!CC6+'실적 Raw Data'!CD6+'실적 Raw Data'!CE6+'실적 Raw Data'!CF6</f>
        <v/>
      </c>
      <c r="BM6" s="35">
        <f>+'실적 Raw Data'!CH6</f>
        <v/>
      </c>
      <c r="BN6" s="35">
        <f>'실적 Raw Data'!CR6</f>
        <v/>
      </c>
      <c r="BO6" s="35">
        <f>+'실적 Raw Data'!CU6</f>
        <v/>
      </c>
      <c r="BP6" s="35">
        <f>+BQ6-BL6-BM6-BN6-BO6</f>
        <v/>
      </c>
      <c r="BQ6" s="35">
        <f>+BR6-BK6</f>
        <v/>
      </c>
      <c r="BR6" s="35">
        <f>+'실적 Raw Data'!T6</f>
        <v/>
      </c>
      <c r="BS6" s="35">
        <f>BT6-BR6</f>
        <v/>
      </c>
      <c r="BT6" s="35">
        <f>+'실적 Raw Data'!BP6</f>
        <v/>
      </c>
      <c r="BU6" s="35">
        <f>+V6-BA6-BR6</f>
        <v/>
      </c>
      <c r="BV6" s="35">
        <f>+X6-BC6-BT6</f>
        <v/>
      </c>
      <c r="BW6" s="35">
        <f>IF(OR(LEFT(J7,1)="R", LEFT(J7,3)="QZZ"),0, '실적 Raw Data'!M6)</f>
        <v/>
      </c>
      <c r="BX6" s="35">
        <f>'실적 Raw Data'!V6</f>
        <v/>
      </c>
      <c r="BY6" s="27">
        <f>IF(OR(N7="V전지:SET",N7="V전지:set/oe"),BW6*22.9,BW6)</f>
        <v/>
      </c>
    </row>
    <row r="7">
      <c r="A7" s="19">
        <f>RIGHT('실적 Raw Data'!C7,4)&amp;"년"</f>
        <v/>
      </c>
      <c r="B7" s="19">
        <f>TRIM(MID('실적 Raw Data'!C7,9,4))</f>
        <v/>
      </c>
      <c r="C7" s="20">
        <f>IF(LEFT('실적 Raw Data'!A7,5)*1=20313,"차량",IF(LEFT('실적 Raw Data'!A7,5)*1=20314,"차량",IF(LEFT('실적 Raw Data'!A7,5)*1=20342,"산전","산전")))</f>
        <v/>
      </c>
      <c r="D7" s="19">
        <f>IF(LEFT('실적 Raw Data'!A7,5)*1=20342,"모티브",IF(LEFT('실적 Raw Data'!A7,5)*1=20345,"고정형",IF(LEFT('실적 Raw Data'!A7,5)*1=20313,"차량대리점","차량OE")))</f>
        <v/>
      </c>
      <c r="E7" s="21">
        <f>VLOOKUP($D7&amp;$H7,[1]지점코드!$A:$F,4,0)</f>
        <v/>
      </c>
      <c r="F7" s="21">
        <f>VLOOKUP($D7&amp;$H7,[1]지점코드!$A:$F,5,0)</f>
        <v/>
      </c>
      <c r="G7" s="21">
        <f>VLOOKUP($D7&amp;$H7,[1]지점코드!$A:$F,6,0)</f>
        <v/>
      </c>
      <c r="H7" s="19">
        <f>LEFT('실적 Raw Data'!E7,7)</f>
        <v/>
      </c>
      <c r="I7" s="19">
        <f>SUBSTITUTE((SUBSTITUTE('실적 Raw Data'!E7,H7,"")),"    ","")</f>
        <v/>
      </c>
      <c r="J7" s="19">
        <f>TRIM(LEFT('실적 Raw Data'!B7,11))</f>
        <v/>
      </c>
      <c r="K7" s="19">
        <f>TRIM((SUBSTITUTE('실적 Raw Data'!B7,J7,"")))</f>
        <v/>
      </c>
      <c r="L7" s="22">
        <f>IF(D7="모티브",VLOOKUP(C7&amp;J7,[1]제품분류!$A:$J,4,0),IF(D7="고정형",VLOOKUP(C7&amp;J7,[1]제품분류!$A:$J,4,0),IF(D7="차량대리점",VLOOKUP("차량대리점"&amp;J7,[1]제품분류!$A:$J,4,0),IF(D7="차량OE",VLOOKUP("차량OE"&amp;J7,[1]제품분류!$A:$J,4,0)))))</f>
        <v/>
      </c>
      <c r="M7" s="22">
        <f>IF(D7="모티브",VLOOKUP("산전"&amp;J7,[1]제품분류!$A:$J,5,0),IF(D7="고정형",VLOOKUP(C7&amp;J7,[1]제품분류!$A:$J,5,0),IF(D7="차량대리점",VLOOKUP("차량대리점"&amp;J7,[1]제품분류!$A:$J,5,0),IF(D7="차량OE", VLOOKUP(C7&amp;J7,[1]제품분류!$A:$J,5,0)))))</f>
        <v/>
      </c>
      <c r="N7" s="19">
        <f>IF(D7="모티브",VLOOKUP("산전"&amp;J7,[1]제품분류!$A:$J,6,0),IF(D7="고정형",VLOOKUP("산전"&amp;J7,[1]제품분류!$A:$J,6,0),IF(D7="차량대리점",VLOOKUP("차량대리점"&amp;J7,[1]제품분류!$A:$J,6,0))))</f>
        <v/>
      </c>
      <c r="O7" s="19">
        <f>IF(D7="모티브",VLOOKUP("산전"&amp;J7,[1]제품분류!$A:$J,7,0),IF(D7="고정형",VLOOKUP("산전"&amp;J7,[1]제품분류!$A:$J,7,0),IF(D7="차량대리점",VLOOKUP("차량대리점"&amp;J7,[1]제품분류!$A:$J,7,0),IF(D7="차량OE", VLOOKUP(D7&amp;J7,[1]제품분류!$A:$J,7,0)))))</f>
        <v/>
      </c>
      <c r="P7" s="19">
        <f>IF(D7="모티브",VLOOKUP("산전"&amp;J7,[1]제품분류!$A:$J,8,0),IF(D7="고정형",VLOOKUP("산전"&amp;J7,[1]제품분류!$A:$J,8,0),IF(D7="차량대리점",VLOOKUP("차량대리점"&amp;J7,[1]제품분류!$A:$J,8,0),IF(D7="차량OE", VLOOKUP(D7&amp;J7,[1]제품분류!$A:$J,8,0)))))</f>
        <v/>
      </c>
      <c r="Q7" s="34">
        <f>+'실적 Raw Data'!BN7</f>
        <v/>
      </c>
      <c r="R7" s="34">
        <f>+'실적 Raw Data'!BO7</f>
        <v/>
      </c>
      <c r="S7" s="34">
        <f>+T7-Q7-R7</f>
        <v/>
      </c>
      <c r="T7" s="35">
        <f>'실적 Raw Data'!H7</f>
        <v/>
      </c>
      <c r="U7" s="35">
        <f>'실적 Raw Data'!I7</f>
        <v/>
      </c>
      <c r="V7" s="35">
        <f>+'실적 Raw Data'!R7</f>
        <v/>
      </c>
      <c r="W7" s="35">
        <f>'실적 Raw Data'!J7</f>
        <v/>
      </c>
      <c r="X7" s="35">
        <f>'실적 Raw Data'!F7</f>
        <v/>
      </c>
      <c r="Y7" s="35">
        <f>+'실적 Raw Data'!AV7</f>
        <v/>
      </c>
      <c r="Z7" s="35">
        <f>+'실적 Raw Data'!AW7</f>
        <v/>
      </c>
      <c r="AA7" s="35">
        <f>+'실적 Raw Data'!AX7</f>
        <v/>
      </c>
      <c r="AB7" s="35">
        <f>+'실적 Raw Data'!AY7</f>
        <v/>
      </c>
      <c r="AC7" s="35">
        <f>+'실적 Raw Data'!AZ7</f>
        <v/>
      </c>
      <c r="AD7" s="35">
        <f>+Y7+Z7+AA7+AB7+AC7</f>
        <v/>
      </c>
      <c r="AE7" s="35">
        <f>+'실적 Raw Data'!BA7</f>
        <v/>
      </c>
      <c r="AF7" s="35">
        <f>+'실적 Raw Data'!BB7</f>
        <v/>
      </c>
      <c r="AG7" s="35">
        <f>+'실적 Raw Data'!BC7</f>
        <v/>
      </c>
      <c r="AH7" s="35">
        <f>+AE7+AF7+AG7</f>
        <v/>
      </c>
      <c r="AI7" s="35">
        <f>+'실적 Raw Data'!BD7</f>
        <v/>
      </c>
      <c r="AJ7" s="35">
        <f>+'실적 Raw Data'!BE7</f>
        <v/>
      </c>
      <c r="AK7" s="35">
        <f>+'실적 Raw Data'!BF7</f>
        <v/>
      </c>
      <c r="AL7" s="35">
        <f>+'실적 Raw Data'!BG7</f>
        <v/>
      </c>
      <c r="AM7" s="35">
        <f>+AJ7+AK7+AL7</f>
        <v/>
      </c>
      <c r="AN7" s="35">
        <f>+AD7+AH7+AI7+AM7</f>
        <v/>
      </c>
      <c r="AO7" s="35">
        <f>+'실적 Raw Data'!BH7</f>
        <v/>
      </c>
      <c r="AP7" s="36">
        <f>+'실적 Raw Data'!BJ7</f>
        <v/>
      </c>
      <c r="AQ7" s="35">
        <f>+AO7+AP7</f>
        <v/>
      </c>
      <c r="AR7" s="35">
        <f>+'실적 Raw Data'!BK7</f>
        <v/>
      </c>
      <c r="AS7" s="35">
        <f>+AQ7+AR7</f>
        <v/>
      </c>
      <c r="AT7" s="35">
        <f>+'실적 Raw Data'!BI7</f>
        <v/>
      </c>
      <c r="AU7" s="35">
        <f>+'실적 Raw Data'!BL7</f>
        <v/>
      </c>
      <c r="AV7" s="35">
        <f>+'실적 Raw Data'!BM7</f>
        <v/>
      </c>
      <c r="AW7" s="35">
        <f>SUM(AT7:AV7)</f>
        <v/>
      </c>
      <c r="AX7" s="35">
        <f>+AY7-(+AW7+AS7+AN7)+BX7</f>
        <v/>
      </c>
      <c r="AY7" s="35">
        <f>+'실적 Raw Data'!AT7</f>
        <v/>
      </c>
      <c r="AZ7" s="35">
        <f>+'실적 Raw Data'!X7+'실적 Raw Data'!Y7+'실적 Raw Data'!Z7</f>
        <v/>
      </c>
      <c r="BA7" s="35">
        <f>+'실적 Raw Data'!S7</f>
        <v/>
      </c>
      <c r="BB7" s="35">
        <f>'실적 Raw Data'!W7</f>
        <v/>
      </c>
      <c r="BC7" s="35">
        <f>+'실적 Raw Data'!G7</f>
        <v/>
      </c>
      <c r="BD7" s="35">
        <f>+'실적 Raw Data'!CS7</f>
        <v/>
      </c>
      <c r="BE7" s="35">
        <f>+'실적 Raw Data'!CT7</f>
        <v/>
      </c>
      <c r="BF7" s="35">
        <f>+'실적 Raw Data'!CW7</f>
        <v/>
      </c>
      <c r="BG7" s="35">
        <f>+'실적 Raw Data'!DE7</f>
        <v/>
      </c>
      <c r="BH7" s="35">
        <f>+'실적 Raw Data'!DH7</f>
        <v/>
      </c>
      <c r="BI7" s="35">
        <f>+'실적 Raw Data'!DJ7</f>
        <v/>
      </c>
      <c r="BJ7" s="35">
        <f>+'실적 Raw Data'!DL7</f>
        <v/>
      </c>
      <c r="BK7" s="35">
        <f>SUM(BD7:BJ7)</f>
        <v/>
      </c>
      <c r="BL7" s="35">
        <f>+'실적 Raw Data'!BY7+'실적 Raw Data'!BZ7+'실적 Raw Data'!CA7+'실적 Raw Data'!CB7+'실적 Raw Data'!CC7+'실적 Raw Data'!CD7+'실적 Raw Data'!CE7+'실적 Raw Data'!CF7</f>
        <v/>
      </c>
      <c r="BM7" s="35">
        <f>+'실적 Raw Data'!CH7</f>
        <v/>
      </c>
      <c r="BN7" s="35">
        <f>'실적 Raw Data'!CR7</f>
        <v/>
      </c>
      <c r="BO7" s="35">
        <f>+'실적 Raw Data'!CU7</f>
        <v/>
      </c>
      <c r="BP7" s="35">
        <f>+BQ7-BL7-BM7-BN7-BO7</f>
        <v/>
      </c>
      <c r="BQ7" s="35">
        <f>+BR7-BK7</f>
        <v/>
      </c>
      <c r="BR7" s="35">
        <f>+'실적 Raw Data'!T7</f>
        <v/>
      </c>
      <c r="BS7" s="35">
        <f>BT7-BR7</f>
        <v/>
      </c>
      <c r="BT7" s="35">
        <f>+'실적 Raw Data'!BP7</f>
        <v/>
      </c>
      <c r="BU7" s="35">
        <f>+V7-BA7-BR7</f>
        <v/>
      </c>
      <c r="BV7" s="35">
        <f>+X7-BC7-BT7</f>
        <v/>
      </c>
      <c r="BW7" s="35">
        <f>IF(OR(LEFT(J8,1)="R", LEFT(J8,3)="QZZ"),0, '실적 Raw Data'!M7)</f>
        <v/>
      </c>
      <c r="BX7" s="35">
        <f>'실적 Raw Data'!V7</f>
        <v/>
      </c>
      <c r="BY7" s="27">
        <f>IF(OR(N8="V전지:SET",N8="V전지:set/oe"),BW7*22.9,BW7)</f>
        <v/>
      </c>
    </row>
    <row r="8">
      <c r="A8" s="19">
        <f>RIGHT('실적 Raw Data'!C8,4)&amp;"년"</f>
        <v/>
      </c>
      <c r="B8" s="19">
        <f>TRIM(MID('실적 Raw Data'!C8,9,4))</f>
        <v/>
      </c>
      <c r="C8" s="20">
        <f>IF(LEFT('실적 Raw Data'!A8,5)*1=20313,"차량",IF(LEFT('실적 Raw Data'!A8,5)*1=20314,"차량",IF(LEFT('실적 Raw Data'!A8,5)*1=20342,"산전","산전")))</f>
        <v/>
      </c>
      <c r="D8" s="19">
        <f>IF(LEFT('실적 Raw Data'!A8,5)*1=20342,"모티브",IF(LEFT('실적 Raw Data'!A8,5)*1=20345,"고정형",IF(LEFT('실적 Raw Data'!A8,5)*1=20313,"차량대리점","차량OE")))</f>
        <v/>
      </c>
      <c r="E8" s="21">
        <f>VLOOKUP($D8&amp;$H8,[1]지점코드!$A:$F,4,0)</f>
        <v/>
      </c>
      <c r="F8" s="21">
        <f>VLOOKUP($D8&amp;$H8,[1]지점코드!$A:$F,5,0)</f>
        <v/>
      </c>
      <c r="G8" s="21">
        <f>VLOOKUP($D8&amp;$H8,[1]지점코드!$A:$F,6,0)</f>
        <v/>
      </c>
      <c r="H8" s="19">
        <f>LEFT('실적 Raw Data'!E8,7)</f>
        <v/>
      </c>
      <c r="I8" s="19">
        <f>SUBSTITUTE((SUBSTITUTE('실적 Raw Data'!E8,H8,"")),"    ","")</f>
        <v/>
      </c>
      <c r="J8" s="19">
        <f>TRIM(LEFT('실적 Raw Data'!B8,11))</f>
        <v/>
      </c>
      <c r="K8" s="19">
        <f>TRIM((SUBSTITUTE('실적 Raw Data'!B8,J8,"")))</f>
        <v/>
      </c>
      <c r="L8" s="22">
        <f>IF(D8="모티브",VLOOKUP(C8&amp;J8,[1]제품분류!$A:$J,4,0),IF(D8="고정형",VLOOKUP(C8&amp;J8,[1]제품분류!$A:$J,4,0),IF(D8="차량대리점",VLOOKUP("차량대리점"&amp;J8,[1]제품분류!$A:$J,4,0),IF(D8="차량OE",VLOOKUP("차량OE"&amp;J8,[1]제품분류!$A:$J,4,0)))))</f>
        <v/>
      </c>
      <c r="M8" s="22">
        <f>IF(D8="모티브",VLOOKUP("산전"&amp;J8,[1]제품분류!$A:$J,5,0),IF(D8="고정형",VLOOKUP(C8&amp;J8,[1]제품분류!$A:$J,5,0),IF(D8="차량대리점",VLOOKUP("차량대리점"&amp;J8,[1]제품분류!$A:$J,5,0),IF(D8="차량OE", VLOOKUP(C8&amp;J8,[1]제품분류!$A:$J,5,0)))))</f>
        <v/>
      </c>
      <c r="N8" s="19">
        <f>IF(D8="모티브",VLOOKUP("산전"&amp;J8,[1]제품분류!$A:$J,6,0),IF(D8="고정형",VLOOKUP("산전"&amp;J8,[1]제품분류!$A:$J,6,0),IF(D8="차량대리점",VLOOKUP("차량대리점"&amp;J8,[1]제품분류!$A:$J,6,0))))</f>
        <v/>
      </c>
      <c r="O8" s="19">
        <f>IF(D8="모티브",VLOOKUP("산전"&amp;J8,[1]제품분류!$A:$J,7,0),IF(D8="고정형",VLOOKUP("산전"&amp;J8,[1]제품분류!$A:$J,7,0),IF(D8="차량대리점",VLOOKUP("차량대리점"&amp;J8,[1]제품분류!$A:$J,7,0),IF(D8="차량OE", VLOOKUP(D8&amp;J8,[1]제품분류!$A:$J,7,0)))))</f>
        <v/>
      </c>
      <c r="P8" s="19">
        <f>IF(D8="모티브",VLOOKUP("산전"&amp;J8,[1]제품분류!$A:$J,8,0),IF(D8="고정형",VLOOKUP("산전"&amp;J8,[1]제품분류!$A:$J,8,0),IF(D8="차량대리점",VLOOKUP("차량대리점"&amp;J8,[1]제품분류!$A:$J,8,0),IF(D8="차량OE", VLOOKUP(D8&amp;J8,[1]제품분류!$A:$J,8,0)))))</f>
        <v/>
      </c>
      <c r="Q8" s="34">
        <f>+'실적 Raw Data'!BN8</f>
        <v/>
      </c>
      <c r="R8" s="34">
        <f>+'실적 Raw Data'!BO8</f>
        <v/>
      </c>
      <c r="S8" s="34">
        <f>+T8-Q8-R8</f>
        <v/>
      </c>
      <c r="T8" s="35">
        <f>'실적 Raw Data'!H8</f>
        <v/>
      </c>
      <c r="U8" s="35">
        <f>'실적 Raw Data'!I8</f>
        <v/>
      </c>
      <c r="V8" s="35">
        <f>+'실적 Raw Data'!R8</f>
        <v/>
      </c>
      <c r="W8" s="35">
        <f>'실적 Raw Data'!J8</f>
        <v/>
      </c>
      <c r="X8" s="35">
        <f>'실적 Raw Data'!F8</f>
        <v/>
      </c>
      <c r="Y8" s="35">
        <f>+'실적 Raw Data'!AV8</f>
        <v/>
      </c>
      <c r="Z8" s="35">
        <f>+'실적 Raw Data'!AW8</f>
        <v/>
      </c>
      <c r="AA8" s="35">
        <f>+'실적 Raw Data'!AX8</f>
        <v/>
      </c>
      <c r="AB8" s="35">
        <f>+'실적 Raw Data'!AY8</f>
        <v/>
      </c>
      <c r="AC8" s="35">
        <f>+'실적 Raw Data'!AZ8</f>
        <v/>
      </c>
      <c r="AD8" s="35">
        <f>+Y8+Z8+AA8+AB8+AC8</f>
        <v/>
      </c>
      <c r="AE8" s="35">
        <f>+'실적 Raw Data'!BA8</f>
        <v/>
      </c>
      <c r="AF8" s="35">
        <f>+'실적 Raw Data'!BB8</f>
        <v/>
      </c>
      <c r="AG8" s="35">
        <f>+'실적 Raw Data'!BC8</f>
        <v/>
      </c>
      <c r="AH8" s="35">
        <f>+AE8+AF8+AG8</f>
        <v/>
      </c>
      <c r="AI8" s="35">
        <f>+'실적 Raw Data'!BD8</f>
        <v/>
      </c>
      <c r="AJ8" s="35">
        <f>+'실적 Raw Data'!BE8</f>
        <v/>
      </c>
      <c r="AK8" s="35">
        <f>+'실적 Raw Data'!BF8</f>
        <v/>
      </c>
      <c r="AL8" s="35">
        <f>+'실적 Raw Data'!BG8</f>
        <v/>
      </c>
      <c r="AM8" s="35">
        <f>+AJ8+AK8+AL8</f>
        <v/>
      </c>
      <c r="AN8" s="35">
        <f>+AD8+AH8+AI8+AM8</f>
        <v/>
      </c>
      <c r="AO8" s="35">
        <f>+'실적 Raw Data'!BH8</f>
        <v/>
      </c>
      <c r="AP8" s="36">
        <f>+'실적 Raw Data'!BJ8</f>
        <v/>
      </c>
      <c r="AQ8" s="35">
        <f>+AO8+AP8</f>
        <v/>
      </c>
      <c r="AR8" s="35">
        <f>+'실적 Raw Data'!BK8</f>
        <v/>
      </c>
      <c r="AS8" s="35">
        <f>+AQ8+AR8</f>
        <v/>
      </c>
      <c r="AT8" s="35">
        <f>+'실적 Raw Data'!BI8</f>
        <v/>
      </c>
      <c r="AU8" s="35">
        <f>+'실적 Raw Data'!BL8</f>
        <v/>
      </c>
      <c r="AV8" s="35">
        <f>+'실적 Raw Data'!BM8</f>
        <v/>
      </c>
      <c r="AW8" s="35">
        <f>SUM(AT8:AV8)</f>
        <v/>
      </c>
      <c r="AX8" s="35">
        <f>+AY8-(+AW8+AS8+AN8)+BX8</f>
        <v/>
      </c>
      <c r="AY8" s="35">
        <f>+'실적 Raw Data'!AT8</f>
        <v/>
      </c>
      <c r="AZ8" s="35">
        <f>+'실적 Raw Data'!X8+'실적 Raw Data'!Y8+'실적 Raw Data'!Z8</f>
        <v/>
      </c>
      <c r="BA8" s="35">
        <f>+'실적 Raw Data'!S8</f>
        <v/>
      </c>
      <c r="BB8" s="35">
        <f>'실적 Raw Data'!W8</f>
        <v/>
      </c>
      <c r="BC8" s="35">
        <f>+'실적 Raw Data'!G8</f>
        <v/>
      </c>
      <c r="BD8" s="35">
        <f>+'실적 Raw Data'!CS8</f>
        <v/>
      </c>
      <c r="BE8" s="35">
        <f>+'실적 Raw Data'!CT8</f>
        <v/>
      </c>
      <c r="BF8" s="35">
        <f>+'실적 Raw Data'!CW8</f>
        <v/>
      </c>
      <c r="BG8" s="35">
        <f>+'실적 Raw Data'!DE8</f>
        <v/>
      </c>
      <c r="BH8" s="35">
        <f>+'실적 Raw Data'!DH8</f>
        <v/>
      </c>
      <c r="BI8" s="35">
        <f>+'실적 Raw Data'!DJ8</f>
        <v/>
      </c>
      <c r="BJ8" s="35">
        <f>+'실적 Raw Data'!DL8</f>
        <v/>
      </c>
      <c r="BK8" s="35">
        <f>SUM(BD8:BJ8)</f>
        <v/>
      </c>
      <c r="BL8" s="35">
        <f>+'실적 Raw Data'!BY8+'실적 Raw Data'!BZ8+'실적 Raw Data'!CA8+'실적 Raw Data'!CB8+'실적 Raw Data'!CC8+'실적 Raw Data'!CD8+'실적 Raw Data'!CE8+'실적 Raw Data'!CF8</f>
        <v/>
      </c>
      <c r="BM8" s="35">
        <f>+'실적 Raw Data'!CH8</f>
        <v/>
      </c>
      <c r="BN8" s="35">
        <f>'실적 Raw Data'!CR8</f>
        <v/>
      </c>
      <c r="BO8" s="35">
        <f>+'실적 Raw Data'!CU8</f>
        <v/>
      </c>
      <c r="BP8" s="35">
        <f>+BQ8-BL8-BM8-BN8-BO8</f>
        <v/>
      </c>
      <c r="BQ8" s="35">
        <f>+BR8-BK8</f>
        <v/>
      </c>
      <c r="BR8" s="35">
        <f>+'실적 Raw Data'!T8</f>
        <v/>
      </c>
      <c r="BS8" s="35">
        <f>BT8-BR8</f>
        <v/>
      </c>
      <c r="BT8" s="35">
        <f>+'실적 Raw Data'!BP8</f>
        <v/>
      </c>
      <c r="BU8" s="35">
        <f>+V8-BA8-BR8</f>
        <v/>
      </c>
      <c r="BV8" s="35">
        <f>+X8-BC8-BT8</f>
        <v/>
      </c>
      <c r="BW8" s="35">
        <f>IF(OR(LEFT(J9,1)="R", LEFT(J9,3)="QZZ"),0, '실적 Raw Data'!M8)</f>
        <v/>
      </c>
      <c r="BX8" s="35">
        <f>'실적 Raw Data'!V8</f>
        <v/>
      </c>
      <c r="BY8" s="27">
        <f>IF(OR(N9="V전지:SET",N9="V전지:set/oe"),BW8*22.9,BW8)</f>
        <v/>
      </c>
    </row>
    <row r="9">
      <c r="A9" s="19">
        <f>RIGHT('실적 Raw Data'!C9,4)&amp;"년"</f>
        <v/>
      </c>
      <c r="B9" s="19">
        <f>TRIM(MID('실적 Raw Data'!C9,9,4))</f>
        <v/>
      </c>
      <c r="C9" s="20">
        <f>IF(LEFT('실적 Raw Data'!A9,5)*1=20313,"차량",IF(LEFT('실적 Raw Data'!A9,5)*1=20314,"차량",IF(LEFT('실적 Raw Data'!A9,5)*1=20342,"산전","산전")))</f>
        <v/>
      </c>
      <c r="D9" s="19">
        <f>IF(LEFT('실적 Raw Data'!A9,5)*1=20342,"모티브",IF(LEFT('실적 Raw Data'!A9,5)*1=20345,"고정형",IF(LEFT('실적 Raw Data'!A9,5)*1=20313,"차량대리점","차량OE")))</f>
        <v/>
      </c>
      <c r="E9" s="21">
        <f>VLOOKUP($D9&amp;$H9,[1]지점코드!$A:$F,4,0)</f>
        <v/>
      </c>
      <c r="F9" s="21">
        <f>VLOOKUP($D9&amp;$H9,[1]지점코드!$A:$F,5,0)</f>
        <v/>
      </c>
      <c r="G9" s="21">
        <f>VLOOKUP($D9&amp;$H9,[1]지점코드!$A:$F,6,0)</f>
        <v/>
      </c>
      <c r="H9" s="19">
        <f>LEFT('실적 Raw Data'!E9,7)</f>
        <v/>
      </c>
      <c r="I9" s="19">
        <f>SUBSTITUTE((SUBSTITUTE('실적 Raw Data'!E9,H9,"")),"    ","")</f>
        <v/>
      </c>
      <c r="J9" s="19">
        <f>TRIM(LEFT('실적 Raw Data'!B9,11))</f>
        <v/>
      </c>
      <c r="K9" s="19">
        <f>TRIM((SUBSTITUTE('실적 Raw Data'!B9,J9,"")))</f>
        <v/>
      </c>
      <c r="L9" s="22">
        <f>IF(D9="모티브",VLOOKUP(C9&amp;J9,[1]제품분류!$A:$J,4,0),IF(D9="고정형",VLOOKUP(C9&amp;J9,[1]제품분류!$A:$J,4,0),IF(D9="차량대리점",VLOOKUP("차량대리점"&amp;J9,[1]제품분류!$A:$J,4,0),IF(D9="차량OE",VLOOKUP("차량OE"&amp;J9,[1]제품분류!$A:$J,4,0)))))</f>
        <v/>
      </c>
      <c r="M9" s="22">
        <f>IF(D9="모티브",VLOOKUP("산전"&amp;J9,[1]제품분류!$A:$J,5,0),IF(D9="고정형",VLOOKUP(C9&amp;J9,[1]제품분류!$A:$J,5,0),IF(D9="차량대리점",VLOOKUP("차량대리점"&amp;J9,[1]제품분류!$A:$J,5,0),IF(D9="차량OE", VLOOKUP(C9&amp;J9,[1]제품분류!$A:$J,5,0)))))</f>
        <v/>
      </c>
      <c r="N9" s="19">
        <f>IF(D9="모티브",VLOOKUP("산전"&amp;J9,[1]제품분류!$A:$J,6,0),IF(D9="고정형",VLOOKUP("산전"&amp;J9,[1]제품분류!$A:$J,6,0),IF(D9="차량대리점",VLOOKUP("차량대리점"&amp;J9,[1]제품분류!$A:$J,6,0))))</f>
        <v/>
      </c>
      <c r="O9" s="19">
        <f>IF(D9="모티브",VLOOKUP("산전"&amp;J9,[1]제품분류!$A:$J,7,0),IF(D9="고정형",VLOOKUP("산전"&amp;J9,[1]제품분류!$A:$J,7,0),IF(D9="차량대리점",VLOOKUP("차량대리점"&amp;J9,[1]제품분류!$A:$J,7,0),IF(D9="차량OE", VLOOKUP(D9&amp;J9,[1]제품분류!$A:$J,7,0)))))</f>
        <v/>
      </c>
      <c r="P9" s="19">
        <f>IF(D9="모티브",VLOOKUP("산전"&amp;J9,[1]제품분류!$A:$J,8,0),IF(D9="고정형",VLOOKUP("산전"&amp;J9,[1]제품분류!$A:$J,8,0),IF(D9="차량대리점",VLOOKUP("차량대리점"&amp;J9,[1]제품분류!$A:$J,8,0),IF(D9="차량OE", VLOOKUP(D9&amp;J9,[1]제품분류!$A:$J,8,0)))))</f>
        <v/>
      </c>
      <c r="Q9" s="34">
        <f>+'실적 Raw Data'!BN9</f>
        <v/>
      </c>
      <c r="R9" s="34">
        <f>+'실적 Raw Data'!BO9</f>
        <v/>
      </c>
      <c r="S9" s="34">
        <f>+T9-Q9-R9</f>
        <v/>
      </c>
      <c r="T9" s="35">
        <f>'실적 Raw Data'!H9</f>
        <v/>
      </c>
      <c r="U9" s="35">
        <f>'실적 Raw Data'!I9</f>
        <v/>
      </c>
      <c r="V9" s="35">
        <f>+'실적 Raw Data'!R9</f>
        <v/>
      </c>
      <c r="W9" s="35">
        <f>'실적 Raw Data'!J9</f>
        <v/>
      </c>
      <c r="X9" s="35">
        <f>'실적 Raw Data'!F9</f>
        <v/>
      </c>
      <c r="Y9" s="35">
        <f>+'실적 Raw Data'!AV9</f>
        <v/>
      </c>
      <c r="Z9" s="35">
        <f>+'실적 Raw Data'!AW9</f>
        <v/>
      </c>
      <c r="AA9" s="35">
        <f>+'실적 Raw Data'!AX9</f>
        <v/>
      </c>
      <c r="AB9" s="35">
        <f>+'실적 Raw Data'!AY9</f>
        <v/>
      </c>
      <c r="AC9" s="35">
        <f>+'실적 Raw Data'!AZ9</f>
        <v/>
      </c>
      <c r="AD9" s="35">
        <f>+Y9+Z9+AA9+AB9+AC9</f>
        <v/>
      </c>
      <c r="AE9" s="35">
        <f>+'실적 Raw Data'!BA9</f>
        <v/>
      </c>
      <c r="AF9" s="35">
        <f>+'실적 Raw Data'!BB9</f>
        <v/>
      </c>
      <c r="AG9" s="35">
        <f>+'실적 Raw Data'!BC9</f>
        <v/>
      </c>
      <c r="AH9" s="35">
        <f>+AE9+AF9+AG9</f>
        <v/>
      </c>
      <c r="AI9" s="35">
        <f>+'실적 Raw Data'!BD9</f>
        <v/>
      </c>
      <c r="AJ9" s="35">
        <f>+'실적 Raw Data'!BE9</f>
        <v/>
      </c>
      <c r="AK9" s="35">
        <f>+'실적 Raw Data'!BF9</f>
        <v/>
      </c>
      <c r="AL9" s="35">
        <f>+'실적 Raw Data'!BG9</f>
        <v/>
      </c>
      <c r="AM9" s="35">
        <f>+AJ9+AK9+AL9</f>
        <v/>
      </c>
      <c r="AN9" s="35">
        <f>+AD9+AH9+AI9+AM9</f>
        <v/>
      </c>
      <c r="AO9" s="35">
        <f>+'실적 Raw Data'!BH9</f>
        <v/>
      </c>
      <c r="AP9" s="36">
        <f>+'실적 Raw Data'!BJ9</f>
        <v/>
      </c>
      <c r="AQ9" s="35">
        <f>+AO9+AP9</f>
        <v/>
      </c>
      <c r="AR9" s="35">
        <f>+'실적 Raw Data'!BK9</f>
        <v/>
      </c>
      <c r="AS9" s="35">
        <f>+AQ9+AR9</f>
        <v/>
      </c>
      <c r="AT9" s="35">
        <f>+'실적 Raw Data'!BI9</f>
        <v/>
      </c>
      <c r="AU9" s="35">
        <f>+'실적 Raw Data'!BL9</f>
        <v/>
      </c>
      <c r="AV9" s="35">
        <f>+'실적 Raw Data'!BM9</f>
        <v/>
      </c>
      <c r="AW9" s="35">
        <f>SUM(AT9:AV9)</f>
        <v/>
      </c>
      <c r="AX9" s="35">
        <f>+AY9-(+AW9+AS9+AN9)+BX9</f>
        <v/>
      </c>
      <c r="AY9" s="35">
        <f>+'실적 Raw Data'!AT9</f>
        <v/>
      </c>
      <c r="AZ9" s="35">
        <f>+'실적 Raw Data'!X9+'실적 Raw Data'!Y9+'실적 Raw Data'!Z9</f>
        <v/>
      </c>
      <c r="BA9" s="35">
        <f>+'실적 Raw Data'!S9</f>
        <v/>
      </c>
      <c r="BB9" s="35">
        <f>'실적 Raw Data'!W9</f>
        <v/>
      </c>
      <c r="BC9" s="35">
        <f>+'실적 Raw Data'!G9</f>
        <v/>
      </c>
      <c r="BD9" s="35">
        <f>+'실적 Raw Data'!CS9</f>
        <v/>
      </c>
      <c r="BE9" s="35">
        <f>+'실적 Raw Data'!CT9</f>
        <v/>
      </c>
      <c r="BF9" s="35">
        <f>+'실적 Raw Data'!CW9</f>
        <v/>
      </c>
      <c r="BG9" s="35">
        <f>+'실적 Raw Data'!DE9</f>
        <v/>
      </c>
      <c r="BH9" s="35">
        <f>+'실적 Raw Data'!DH9</f>
        <v/>
      </c>
      <c r="BI9" s="35">
        <f>+'실적 Raw Data'!DJ9</f>
        <v/>
      </c>
      <c r="BJ9" s="35">
        <f>+'실적 Raw Data'!DL9</f>
        <v/>
      </c>
      <c r="BK9" s="35">
        <f>SUM(BD9:BJ9)</f>
        <v/>
      </c>
      <c r="BL9" s="35">
        <f>+'실적 Raw Data'!BY9+'실적 Raw Data'!BZ9+'실적 Raw Data'!CA9+'실적 Raw Data'!CB9+'실적 Raw Data'!CC9+'실적 Raw Data'!CD9+'실적 Raw Data'!CE9+'실적 Raw Data'!CF9</f>
        <v/>
      </c>
      <c r="BM9" s="35">
        <f>+'실적 Raw Data'!CH9</f>
        <v/>
      </c>
      <c r="BN9" s="35">
        <f>'실적 Raw Data'!CR9</f>
        <v/>
      </c>
      <c r="BO9" s="35">
        <f>+'실적 Raw Data'!CU9</f>
        <v/>
      </c>
      <c r="BP9" s="35">
        <f>+BQ9-BL9-BM9-BN9-BO9</f>
        <v/>
      </c>
      <c r="BQ9" s="35">
        <f>+BR9-BK9</f>
        <v/>
      </c>
      <c r="BR9" s="35">
        <f>+'실적 Raw Data'!T9</f>
        <v/>
      </c>
      <c r="BS9" s="35">
        <f>BT9-BR9</f>
        <v/>
      </c>
      <c r="BT9" s="35">
        <f>+'실적 Raw Data'!BP9</f>
        <v/>
      </c>
      <c r="BU9" s="35">
        <f>+V9-BA9-BR9</f>
        <v/>
      </c>
      <c r="BV9" s="35">
        <f>+X9-BC9-BT9</f>
        <v/>
      </c>
      <c r="BW9" s="35">
        <f>IF(OR(LEFT(J10,1)="R", LEFT(J10,3)="QZZ"),0, '실적 Raw Data'!M9)</f>
        <v/>
      </c>
      <c r="BX9" s="35">
        <f>'실적 Raw Data'!V9</f>
        <v/>
      </c>
      <c r="BY9" s="27">
        <f>IF(OR(N10="V전지:SET",N10="V전지:set/oe"),BW9*22.9,BW9)</f>
        <v/>
      </c>
    </row>
    <row r="10">
      <c r="A10" s="19">
        <f>RIGHT('실적 Raw Data'!C10,4)&amp;"년"</f>
        <v/>
      </c>
      <c r="B10" s="19">
        <f>TRIM(MID('실적 Raw Data'!C10,9,4))</f>
        <v/>
      </c>
      <c r="C10" s="20">
        <f>IF(LEFT('실적 Raw Data'!A10,5)*1=20313,"차량",IF(LEFT('실적 Raw Data'!A10,5)*1=20314,"차량",IF(LEFT('실적 Raw Data'!A10,5)*1=20342,"산전","산전")))</f>
        <v/>
      </c>
      <c r="D10" s="19">
        <f>IF(LEFT('실적 Raw Data'!A10,5)*1=20342,"모티브",IF(LEFT('실적 Raw Data'!A10,5)*1=20345,"고정형",IF(LEFT('실적 Raw Data'!A10,5)*1=20313,"차량대리점","차량OE")))</f>
        <v/>
      </c>
      <c r="E10" s="21">
        <f>VLOOKUP($D10&amp;$H10,[1]지점코드!$A:$F,4,0)</f>
        <v/>
      </c>
      <c r="F10" s="21">
        <f>VLOOKUP($D10&amp;$H10,[1]지점코드!$A:$F,5,0)</f>
        <v/>
      </c>
      <c r="G10" s="21">
        <f>VLOOKUP($D10&amp;$H10,[1]지점코드!$A:$F,6,0)</f>
        <v/>
      </c>
      <c r="H10" s="19">
        <f>LEFT('실적 Raw Data'!E10,7)</f>
        <v/>
      </c>
      <c r="I10" s="19">
        <f>SUBSTITUTE((SUBSTITUTE('실적 Raw Data'!E10,H10,"")),"    ","")</f>
        <v/>
      </c>
      <c r="J10" s="19">
        <f>TRIM(LEFT('실적 Raw Data'!B10,11))</f>
        <v/>
      </c>
      <c r="K10" s="19">
        <f>TRIM((SUBSTITUTE('실적 Raw Data'!B10,J10,"")))</f>
        <v/>
      </c>
      <c r="L10" s="22">
        <f>IF(D10="모티브",VLOOKUP(C10&amp;J10,[1]제품분류!$A:$J,4,0),IF(D10="고정형",VLOOKUP(C10&amp;J10,[1]제품분류!$A:$J,4,0),IF(D10="차량대리점",VLOOKUP("차량대리점"&amp;J10,[1]제품분류!$A:$J,4,0),IF(D10="차량OE",VLOOKUP("차량OE"&amp;J10,[1]제품분류!$A:$J,4,0)))))</f>
        <v/>
      </c>
      <c r="M10" s="22">
        <f>IF(D10="모티브",VLOOKUP("산전"&amp;J10,[1]제품분류!$A:$J,5,0),IF(D10="고정형",VLOOKUP(C10&amp;J10,[1]제품분류!$A:$J,5,0),IF(D10="차량대리점",VLOOKUP("차량대리점"&amp;J10,[1]제품분류!$A:$J,5,0),IF(D10="차량OE", VLOOKUP(C10&amp;J10,[1]제품분류!$A:$J,5,0)))))</f>
        <v/>
      </c>
      <c r="N10" s="19">
        <f>IF(D10="모티브",VLOOKUP("산전"&amp;J10,[1]제품분류!$A:$J,6,0),IF(D10="고정형",VLOOKUP("산전"&amp;J10,[1]제품분류!$A:$J,6,0),IF(D10="차량대리점",VLOOKUP("차량대리점"&amp;J10,[1]제품분류!$A:$J,6,0))))</f>
        <v/>
      </c>
      <c r="O10" s="19">
        <f>IF(D10="모티브",VLOOKUP("산전"&amp;J10,[1]제품분류!$A:$J,7,0),IF(D10="고정형",VLOOKUP("산전"&amp;J10,[1]제품분류!$A:$J,7,0),IF(D10="차량대리점",VLOOKUP("차량대리점"&amp;J10,[1]제품분류!$A:$J,7,0),IF(D10="차량OE", VLOOKUP(D10&amp;J10,[1]제품분류!$A:$J,7,0)))))</f>
        <v/>
      </c>
      <c r="P10" s="19">
        <f>IF(D10="모티브",VLOOKUP("산전"&amp;J10,[1]제품분류!$A:$J,8,0),IF(D10="고정형",VLOOKUP("산전"&amp;J10,[1]제품분류!$A:$J,8,0),IF(D10="차량대리점",VLOOKUP("차량대리점"&amp;J10,[1]제품분류!$A:$J,8,0),IF(D10="차량OE", VLOOKUP(D10&amp;J10,[1]제품분류!$A:$J,8,0)))))</f>
        <v/>
      </c>
      <c r="Q10" s="34">
        <f>+'실적 Raw Data'!BN10</f>
        <v/>
      </c>
      <c r="R10" s="34">
        <f>+'실적 Raw Data'!BO10</f>
        <v/>
      </c>
      <c r="S10" s="34">
        <f>+T10-Q10-R10</f>
        <v/>
      </c>
      <c r="T10" s="35">
        <f>'실적 Raw Data'!H10</f>
        <v/>
      </c>
      <c r="U10" s="35">
        <f>'실적 Raw Data'!I10</f>
        <v/>
      </c>
      <c r="V10" s="35">
        <f>+'실적 Raw Data'!R10</f>
        <v/>
      </c>
      <c r="W10" s="35">
        <f>'실적 Raw Data'!J10</f>
        <v/>
      </c>
      <c r="X10" s="35">
        <f>'실적 Raw Data'!F10</f>
        <v/>
      </c>
      <c r="Y10" s="35">
        <f>+'실적 Raw Data'!AV10</f>
        <v/>
      </c>
      <c r="Z10" s="35">
        <f>+'실적 Raw Data'!AW10</f>
        <v/>
      </c>
      <c r="AA10" s="35">
        <f>+'실적 Raw Data'!AX10</f>
        <v/>
      </c>
      <c r="AB10" s="35">
        <f>+'실적 Raw Data'!AY10</f>
        <v/>
      </c>
      <c r="AC10" s="35">
        <f>+'실적 Raw Data'!AZ10</f>
        <v/>
      </c>
      <c r="AD10" s="35">
        <f>+Y10+Z10+AA10+AB10+AC10</f>
        <v/>
      </c>
      <c r="AE10" s="35">
        <f>+'실적 Raw Data'!BA10</f>
        <v/>
      </c>
      <c r="AF10" s="35">
        <f>+'실적 Raw Data'!BB10</f>
        <v/>
      </c>
      <c r="AG10" s="35">
        <f>+'실적 Raw Data'!BC10</f>
        <v/>
      </c>
      <c r="AH10" s="35">
        <f>+AE10+AF10+AG10</f>
        <v/>
      </c>
      <c r="AI10" s="35">
        <f>+'실적 Raw Data'!BD10</f>
        <v/>
      </c>
      <c r="AJ10" s="35">
        <f>+'실적 Raw Data'!BE10</f>
        <v/>
      </c>
      <c r="AK10" s="35">
        <f>+'실적 Raw Data'!BF10</f>
        <v/>
      </c>
      <c r="AL10" s="35">
        <f>+'실적 Raw Data'!BG10</f>
        <v/>
      </c>
      <c r="AM10" s="35">
        <f>+AJ10+AK10+AL10</f>
        <v/>
      </c>
      <c r="AN10" s="35">
        <f>+AD10+AH10+AI10+AM10</f>
        <v/>
      </c>
      <c r="AO10" s="35">
        <f>+'실적 Raw Data'!BH10</f>
        <v/>
      </c>
      <c r="AP10" s="36">
        <f>+'실적 Raw Data'!BJ10</f>
        <v/>
      </c>
      <c r="AQ10" s="35">
        <f>+AO10+AP10</f>
        <v/>
      </c>
      <c r="AR10" s="35">
        <f>+'실적 Raw Data'!BK10</f>
        <v/>
      </c>
      <c r="AS10" s="35">
        <f>+AQ10+AR10</f>
        <v/>
      </c>
      <c r="AT10" s="35">
        <f>+'실적 Raw Data'!BI10</f>
        <v/>
      </c>
      <c r="AU10" s="35">
        <f>+'실적 Raw Data'!BL10</f>
        <v/>
      </c>
      <c r="AV10" s="35">
        <f>+'실적 Raw Data'!BM10</f>
        <v/>
      </c>
      <c r="AW10" s="35">
        <f>SUM(AT10:AV10)</f>
        <v/>
      </c>
      <c r="AX10" s="35">
        <f>+AY10-(+AW10+AS10+AN10)+BX10</f>
        <v/>
      </c>
      <c r="AY10" s="35">
        <f>+'실적 Raw Data'!AT10</f>
        <v/>
      </c>
      <c r="AZ10" s="35">
        <f>+'실적 Raw Data'!X10+'실적 Raw Data'!Y10+'실적 Raw Data'!Z10</f>
        <v/>
      </c>
      <c r="BA10" s="35">
        <f>+'실적 Raw Data'!S10</f>
        <v/>
      </c>
      <c r="BB10" s="35">
        <f>'실적 Raw Data'!W10</f>
        <v/>
      </c>
      <c r="BC10" s="35">
        <f>+'실적 Raw Data'!G10</f>
        <v/>
      </c>
      <c r="BD10" s="35">
        <f>+'실적 Raw Data'!CS10</f>
        <v/>
      </c>
      <c r="BE10" s="35">
        <f>+'실적 Raw Data'!CT10</f>
        <v/>
      </c>
      <c r="BF10" s="35">
        <f>+'실적 Raw Data'!CW10</f>
        <v/>
      </c>
      <c r="BG10" s="35">
        <f>+'실적 Raw Data'!DE10</f>
        <v/>
      </c>
      <c r="BH10" s="35">
        <f>+'실적 Raw Data'!DH10</f>
        <v/>
      </c>
      <c r="BI10" s="35">
        <f>+'실적 Raw Data'!DJ10</f>
        <v/>
      </c>
      <c r="BJ10" s="35">
        <f>+'실적 Raw Data'!DL10</f>
        <v/>
      </c>
      <c r="BK10" s="35">
        <f>SUM(BD10:BJ10)</f>
        <v/>
      </c>
      <c r="BL10" s="35">
        <f>+'실적 Raw Data'!BY10+'실적 Raw Data'!BZ10+'실적 Raw Data'!CA10+'실적 Raw Data'!CB10+'실적 Raw Data'!CC10+'실적 Raw Data'!CD10+'실적 Raw Data'!CE10+'실적 Raw Data'!CF10</f>
        <v/>
      </c>
      <c r="BM10" s="35">
        <f>+'실적 Raw Data'!CH10</f>
        <v/>
      </c>
      <c r="BN10" s="35">
        <f>'실적 Raw Data'!CR10</f>
        <v/>
      </c>
      <c r="BO10" s="35">
        <f>+'실적 Raw Data'!CU10</f>
        <v/>
      </c>
      <c r="BP10" s="35">
        <f>+BQ10-BL10-BM10-BN10-BO10</f>
        <v/>
      </c>
      <c r="BQ10" s="35">
        <f>+BR10-BK10</f>
        <v/>
      </c>
      <c r="BR10" s="35">
        <f>+'실적 Raw Data'!T10</f>
        <v/>
      </c>
      <c r="BS10" s="35">
        <f>BT10-BR10</f>
        <v/>
      </c>
      <c r="BT10" s="35">
        <f>+'실적 Raw Data'!BP10</f>
        <v/>
      </c>
      <c r="BU10" s="35">
        <f>+V10-BA10-BR10</f>
        <v/>
      </c>
      <c r="BV10" s="35">
        <f>+X10-BC10-BT10</f>
        <v/>
      </c>
      <c r="BW10" s="35">
        <f>IF(OR(LEFT(J11,1)="R", LEFT(J11,3)="QZZ"),0, '실적 Raw Data'!M10)</f>
        <v/>
      </c>
      <c r="BX10" s="35">
        <f>'실적 Raw Data'!V10</f>
        <v/>
      </c>
      <c r="BY10" s="27">
        <f>IF(OR(N11="V전지:SET",N11="V전지:set/oe"),BW10*22.9,BW10)</f>
        <v/>
      </c>
    </row>
    <row r="11">
      <c r="A11" s="19">
        <f>RIGHT('실적 Raw Data'!C11,4)&amp;"년"</f>
        <v/>
      </c>
      <c r="B11" s="19">
        <f>TRIM(MID('실적 Raw Data'!C11,9,4))</f>
        <v/>
      </c>
      <c r="C11" s="20">
        <f>IF(LEFT('실적 Raw Data'!A11,5)*1=20313,"차량",IF(LEFT('실적 Raw Data'!A11,5)*1=20314,"차량",IF(LEFT('실적 Raw Data'!A11,5)*1=20342,"산전","산전")))</f>
        <v/>
      </c>
      <c r="D11" s="19">
        <f>IF(LEFT('실적 Raw Data'!A11,5)*1=20342,"모티브",IF(LEFT('실적 Raw Data'!A11,5)*1=20345,"고정형",IF(LEFT('실적 Raw Data'!A11,5)*1=20313,"차량대리점","차량OE")))</f>
        <v/>
      </c>
      <c r="E11" s="21">
        <f>VLOOKUP($D11&amp;$H11,[1]지점코드!$A:$F,4,0)</f>
        <v/>
      </c>
      <c r="F11" s="21">
        <f>VLOOKUP($D11&amp;$H11,[1]지점코드!$A:$F,5,0)</f>
        <v/>
      </c>
      <c r="G11" s="21">
        <f>VLOOKUP($D11&amp;$H11,[1]지점코드!$A:$F,6,0)</f>
        <v/>
      </c>
      <c r="H11" s="19">
        <f>LEFT('실적 Raw Data'!E11,7)</f>
        <v/>
      </c>
      <c r="I11" s="19">
        <f>SUBSTITUTE((SUBSTITUTE('실적 Raw Data'!E11,H11,"")),"    ","")</f>
        <v/>
      </c>
      <c r="J11" s="19">
        <f>TRIM(LEFT('실적 Raw Data'!B11,11))</f>
        <v/>
      </c>
      <c r="K11" s="19">
        <f>TRIM((SUBSTITUTE('실적 Raw Data'!B11,J11,"")))</f>
        <v/>
      </c>
      <c r="L11" s="22">
        <f>IF(D11="모티브",VLOOKUP(C11&amp;J11,[1]제품분류!$A:$J,4,0),IF(D11="고정형",VLOOKUP(C11&amp;J11,[1]제품분류!$A:$J,4,0),IF(D11="차량대리점",VLOOKUP("차량대리점"&amp;J11,[1]제품분류!$A:$J,4,0),IF(D11="차량OE",VLOOKUP("차량OE"&amp;J11,[1]제품분류!$A:$J,4,0)))))</f>
        <v/>
      </c>
      <c r="M11" s="22">
        <f>IF(D11="모티브",VLOOKUP("산전"&amp;J11,[1]제품분류!$A:$J,5,0),IF(D11="고정형",VLOOKUP(C11&amp;J11,[1]제품분류!$A:$J,5,0),IF(D11="차량대리점",VLOOKUP("차량대리점"&amp;J11,[1]제품분류!$A:$J,5,0),IF(D11="차량OE", VLOOKUP(C11&amp;J11,[1]제품분류!$A:$J,5,0)))))</f>
        <v/>
      </c>
      <c r="N11" s="19">
        <f>IF(D11="모티브",VLOOKUP("산전"&amp;J11,[1]제품분류!$A:$J,6,0),IF(D11="고정형",VLOOKUP("산전"&amp;J11,[1]제품분류!$A:$J,6,0),IF(D11="차량대리점",VLOOKUP("차량대리점"&amp;J11,[1]제품분류!$A:$J,6,0))))</f>
        <v/>
      </c>
      <c r="O11" s="19">
        <f>IF(D11="모티브",VLOOKUP("산전"&amp;J11,[1]제품분류!$A:$J,7,0),IF(D11="고정형",VLOOKUP("산전"&amp;J11,[1]제품분류!$A:$J,7,0),IF(D11="차량대리점",VLOOKUP("차량대리점"&amp;J11,[1]제품분류!$A:$J,7,0),IF(D11="차량OE", VLOOKUP(D11&amp;J11,[1]제품분류!$A:$J,7,0)))))</f>
        <v/>
      </c>
      <c r="P11" s="19">
        <f>IF(D11="모티브",VLOOKUP("산전"&amp;J11,[1]제품분류!$A:$J,8,0),IF(D11="고정형",VLOOKUP("산전"&amp;J11,[1]제품분류!$A:$J,8,0),IF(D11="차량대리점",VLOOKUP("차량대리점"&amp;J11,[1]제품분류!$A:$J,8,0),IF(D11="차량OE", VLOOKUP(D11&amp;J11,[1]제품분류!$A:$J,8,0)))))</f>
        <v/>
      </c>
      <c r="Q11" s="34">
        <f>+'실적 Raw Data'!BN11</f>
        <v/>
      </c>
      <c r="R11" s="34">
        <f>+'실적 Raw Data'!BO11</f>
        <v/>
      </c>
      <c r="S11" s="34">
        <f>+T11-Q11-R11</f>
        <v/>
      </c>
      <c r="T11" s="35">
        <f>'실적 Raw Data'!H11</f>
        <v/>
      </c>
      <c r="U11" s="35">
        <f>'실적 Raw Data'!I11</f>
        <v/>
      </c>
      <c r="V11" s="35">
        <f>+'실적 Raw Data'!R11</f>
        <v/>
      </c>
      <c r="W11" s="35">
        <f>'실적 Raw Data'!J11</f>
        <v/>
      </c>
      <c r="X11" s="35">
        <f>'실적 Raw Data'!F11</f>
        <v/>
      </c>
      <c r="Y11" s="35">
        <f>+'실적 Raw Data'!AV11</f>
        <v/>
      </c>
      <c r="Z11" s="35">
        <f>+'실적 Raw Data'!AW11</f>
        <v/>
      </c>
      <c r="AA11" s="35">
        <f>+'실적 Raw Data'!AX11</f>
        <v/>
      </c>
      <c r="AB11" s="35">
        <f>+'실적 Raw Data'!AY11</f>
        <v/>
      </c>
      <c r="AC11" s="35">
        <f>+'실적 Raw Data'!AZ11</f>
        <v/>
      </c>
      <c r="AD11" s="35">
        <f>+Y11+Z11+AA11+AB11+AC11</f>
        <v/>
      </c>
      <c r="AE11" s="35">
        <f>+'실적 Raw Data'!BA11</f>
        <v/>
      </c>
      <c r="AF11" s="35">
        <f>+'실적 Raw Data'!BB11</f>
        <v/>
      </c>
      <c r="AG11" s="35">
        <f>+'실적 Raw Data'!BC11</f>
        <v/>
      </c>
      <c r="AH11" s="35">
        <f>+AE11+AF11+AG11</f>
        <v/>
      </c>
      <c r="AI11" s="35">
        <f>+'실적 Raw Data'!BD11</f>
        <v/>
      </c>
      <c r="AJ11" s="35">
        <f>+'실적 Raw Data'!BE11</f>
        <v/>
      </c>
      <c r="AK11" s="35">
        <f>+'실적 Raw Data'!BF11</f>
        <v/>
      </c>
      <c r="AL11" s="35">
        <f>+'실적 Raw Data'!BG11</f>
        <v/>
      </c>
      <c r="AM11" s="35">
        <f>+AJ11+AK11+AL11</f>
        <v/>
      </c>
      <c r="AN11" s="35">
        <f>+AD11+AH11+AI11+AM11</f>
        <v/>
      </c>
      <c r="AO11" s="35">
        <f>+'실적 Raw Data'!BH11</f>
        <v/>
      </c>
      <c r="AP11" s="36">
        <f>+'실적 Raw Data'!BJ11</f>
        <v/>
      </c>
      <c r="AQ11" s="35">
        <f>+AO11+AP11</f>
        <v/>
      </c>
      <c r="AR11" s="35">
        <f>+'실적 Raw Data'!BK11</f>
        <v/>
      </c>
      <c r="AS11" s="35">
        <f>+AQ11+AR11</f>
        <v/>
      </c>
      <c r="AT11" s="35">
        <f>+'실적 Raw Data'!BI11</f>
        <v/>
      </c>
      <c r="AU11" s="35">
        <f>+'실적 Raw Data'!BL11</f>
        <v/>
      </c>
      <c r="AV11" s="35">
        <f>+'실적 Raw Data'!BM11</f>
        <v/>
      </c>
      <c r="AW11" s="35">
        <f>SUM(AT11:AV11)</f>
        <v/>
      </c>
      <c r="AX11" s="35">
        <f>+AY11-(+AW11+AS11+AN11)+BX11</f>
        <v/>
      </c>
      <c r="AY11" s="35">
        <f>+'실적 Raw Data'!AT11</f>
        <v/>
      </c>
      <c r="AZ11" s="35">
        <f>+'실적 Raw Data'!X11+'실적 Raw Data'!Y11+'실적 Raw Data'!Z11</f>
        <v/>
      </c>
      <c r="BA11" s="35">
        <f>+'실적 Raw Data'!S11</f>
        <v/>
      </c>
      <c r="BB11" s="35">
        <f>'실적 Raw Data'!W11</f>
        <v/>
      </c>
      <c r="BC11" s="35">
        <f>+'실적 Raw Data'!G11</f>
        <v/>
      </c>
      <c r="BD11" s="35">
        <f>+'실적 Raw Data'!CS11</f>
        <v/>
      </c>
      <c r="BE11" s="35">
        <f>+'실적 Raw Data'!CT11</f>
        <v/>
      </c>
      <c r="BF11" s="35">
        <f>+'실적 Raw Data'!CW11</f>
        <v/>
      </c>
      <c r="BG11" s="35">
        <f>+'실적 Raw Data'!DE11</f>
        <v/>
      </c>
      <c r="BH11" s="35">
        <f>+'실적 Raw Data'!DH11</f>
        <v/>
      </c>
      <c r="BI11" s="35">
        <f>+'실적 Raw Data'!DJ11</f>
        <v/>
      </c>
      <c r="BJ11" s="35">
        <f>+'실적 Raw Data'!DL11</f>
        <v/>
      </c>
      <c r="BK11" s="35">
        <f>SUM(BD11:BJ11)</f>
        <v/>
      </c>
      <c r="BL11" s="35">
        <f>+'실적 Raw Data'!BY11+'실적 Raw Data'!BZ11+'실적 Raw Data'!CA11+'실적 Raw Data'!CB11+'실적 Raw Data'!CC11+'실적 Raw Data'!CD11+'실적 Raw Data'!CE11+'실적 Raw Data'!CF11</f>
        <v/>
      </c>
      <c r="BM11" s="35">
        <f>+'실적 Raw Data'!CH11</f>
        <v/>
      </c>
      <c r="BN11" s="35">
        <f>'실적 Raw Data'!CR11</f>
        <v/>
      </c>
      <c r="BO11" s="35">
        <f>+'실적 Raw Data'!CU11</f>
        <v/>
      </c>
      <c r="BP11" s="35">
        <f>+BQ11-BL11-BM11-BN11-BO11</f>
        <v/>
      </c>
      <c r="BQ11" s="35">
        <f>+BR11-BK11</f>
        <v/>
      </c>
      <c r="BR11" s="35">
        <f>+'실적 Raw Data'!T11</f>
        <v/>
      </c>
      <c r="BS11" s="35">
        <f>BT11-BR11</f>
        <v/>
      </c>
      <c r="BT11" s="35">
        <f>+'실적 Raw Data'!BP11</f>
        <v/>
      </c>
      <c r="BU11" s="35">
        <f>+V11-BA11-BR11</f>
        <v/>
      </c>
      <c r="BV11" s="35">
        <f>+X11-BC11-BT11</f>
        <v/>
      </c>
      <c r="BW11" s="35">
        <f>IF(OR(LEFT(J12,1)="R", LEFT(J12,3)="QZZ"),0, '실적 Raw Data'!M11)</f>
        <v/>
      </c>
      <c r="BX11" s="35">
        <f>'실적 Raw Data'!V11</f>
        <v/>
      </c>
      <c r="BY11" s="27">
        <f>IF(OR(N12="V전지:SET",N12="V전지:set/oe"),BW11*22.9,BW11)</f>
        <v/>
      </c>
    </row>
    <row r="12">
      <c r="A12" s="19">
        <f>RIGHT('실적 Raw Data'!C12,4)&amp;"년"</f>
        <v/>
      </c>
      <c r="B12" s="19">
        <f>TRIM(MID('실적 Raw Data'!C12,9,4))</f>
        <v/>
      </c>
      <c r="C12" s="20">
        <f>IF(LEFT('실적 Raw Data'!A12,5)*1=20313,"차량",IF(LEFT('실적 Raw Data'!A12,5)*1=20314,"차량",IF(LEFT('실적 Raw Data'!A12,5)*1=20342,"산전","산전")))</f>
        <v/>
      </c>
      <c r="D12" s="19">
        <f>IF(LEFT('실적 Raw Data'!A12,5)*1=20342,"모티브",IF(LEFT('실적 Raw Data'!A12,5)*1=20345,"고정형",IF(LEFT('실적 Raw Data'!A12,5)*1=20313,"차량대리점","차량OE")))</f>
        <v/>
      </c>
      <c r="E12" s="21">
        <f>VLOOKUP($D12&amp;$H12,[1]지점코드!$A:$F,4,0)</f>
        <v/>
      </c>
      <c r="F12" s="21">
        <f>VLOOKUP($D12&amp;$H12,[1]지점코드!$A:$F,5,0)</f>
        <v/>
      </c>
      <c r="G12" s="21">
        <f>VLOOKUP($D12&amp;$H12,[1]지점코드!$A:$F,6,0)</f>
        <v/>
      </c>
      <c r="H12" s="19">
        <f>LEFT('실적 Raw Data'!E12,7)</f>
        <v/>
      </c>
      <c r="I12" s="19">
        <f>SUBSTITUTE((SUBSTITUTE('실적 Raw Data'!E12,H12,"")),"    ","")</f>
        <v/>
      </c>
      <c r="J12" s="19">
        <f>TRIM(LEFT('실적 Raw Data'!B12,11))</f>
        <v/>
      </c>
      <c r="K12" s="19">
        <f>TRIM((SUBSTITUTE('실적 Raw Data'!B12,J12,"")))</f>
        <v/>
      </c>
      <c r="L12" s="22">
        <f>IF(D12="모티브",VLOOKUP(C12&amp;J12,[1]제품분류!$A:$J,4,0),IF(D12="고정형",VLOOKUP(C12&amp;J12,[1]제품분류!$A:$J,4,0),IF(D12="차량대리점",VLOOKUP("차량대리점"&amp;J12,[1]제품분류!$A:$J,4,0),IF(D12="차량OE",VLOOKUP("차량OE"&amp;J12,[1]제품분류!$A:$J,4,0)))))</f>
        <v/>
      </c>
      <c r="M12" s="22">
        <f>IF(D12="모티브",VLOOKUP("산전"&amp;J12,[1]제품분류!$A:$J,5,0),IF(D12="고정형",VLOOKUP(C12&amp;J12,[1]제품분류!$A:$J,5,0),IF(D12="차량대리점",VLOOKUP("차량대리점"&amp;J12,[1]제품분류!$A:$J,5,0),IF(D12="차량OE", VLOOKUP(C12&amp;J12,[1]제품분류!$A:$J,5,0)))))</f>
        <v/>
      </c>
      <c r="N12" s="19">
        <f>IF(D12="모티브",VLOOKUP("산전"&amp;J12,[1]제품분류!$A:$J,6,0),IF(D12="고정형",VLOOKUP("산전"&amp;J12,[1]제품분류!$A:$J,6,0),IF(D12="차량대리점",VLOOKUP("차량대리점"&amp;J12,[1]제품분류!$A:$J,6,0))))</f>
        <v/>
      </c>
      <c r="O12" s="19">
        <f>IF(D12="모티브",VLOOKUP("산전"&amp;J12,[1]제품분류!$A:$J,7,0),IF(D12="고정형",VLOOKUP("산전"&amp;J12,[1]제품분류!$A:$J,7,0),IF(D12="차량대리점",VLOOKUP("차량대리점"&amp;J12,[1]제품분류!$A:$J,7,0),IF(D12="차량OE", VLOOKUP(D12&amp;J12,[1]제품분류!$A:$J,7,0)))))</f>
        <v/>
      </c>
      <c r="P12" s="19">
        <f>IF(D12="모티브",VLOOKUP("산전"&amp;J12,[1]제품분류!$A:$J,8,0),IF(D12="고정형",VLOOKUP("산전"&amp;J12,[1]제품분류!$A:$J,8,0),IF(D12="차량대리점",VLOOKUP("차량대리점"&amp;J12,[1]제품분류!$A:$J,8,0),IF(D12="차량OE", VLOOKUP(D12&amp;J12,[1]제품분류!$A:$J,8,0)))))</f>
        <v/>
      </c>
      <c r="Q12" s="34">
        <f>+'실적 Raw Data'!BN12</f>
        <v/>
      </c>
      <c r="R12" s="34">
        <f>+'실적 Raw Data'!BO12</f>
        <v/>
      </c>
      <c r="S12" s="34">
        <f>+T12-Q12-R12</f>
        <v/>
      </c>
      <c r="T12" s="35">
        <f>'실적 Raw Data'!H12</f>
        <v/>
      </c>
      <c r="U12" s="35">
        <f>'실적 Raw Data'!I12</f>
        <v/>
      </c>
      <c r="V12" s="35">
        <f>+'실적 Raw Data'!R12</f>
        <v/>
      </c>
      <c r="W12" s="35">
        <f>'실적 Raw Data'!J12</f>
        <v/>
      </c>
      <c r="X12" s="35">
        <f>'실적 Raw Data'!F12</f>
        <v/>
      </c>
      <c r="Y12" s="35">
        <f>+'실적 Raw Data'!AV12</f>
        <v/>
      </c>
      <c r="Z12" s="35">
        <f>+'실적 Raw Data'!AW12</f>
        <v/>
      </c>
      <c r="AA12" s="35">
        <f>+'실적 Raw Data'!AX12</f>
        <v/>
      </c>
      <c r="AB12" s="35">
        <f>+'실적 Raw Data'!AY12</f>
        <v/>
      </c>
      <c r="AC12" s="35">
        <f>+'실적 Raw Data'!AZ12</f>
        <v/>
      </c>
      <c r="AD12" s="35">
        <f>+Y12+Z12+AA12+AB12+AC12</f>
        <v/>
      </c>
      <c r="AE12" s="35">
        <f>+'실적 Raw Data'!BA12</f>
        <v/>
      </c>
      <c r="AF12" s="35">
        <f>+'실적 Raw Data'!BB12</f>
        <v/>
      </c>
      <c r="AG12" s="35">
        <f>+'실적 Raw Data'!BC12</f>
        <v/>
      </c>
      <c r="AH12" s="35">
        <f>+AE12+AF12+AG12</f>
        <v/>
      </c>
      <c r="AI12" s="35">
        <f>+'실적 Raw Data'!BD12</f>
        <v/>
      </c>
      <c r="AJ12" s="35">
        <f>+'실적 Raw Data'!BE12</f>
        <v/>
      </c>
      <c r="AK12" s="35">
        <f>+'실적 Raw Data'!BF12</f>
        <v/>
      </c>
      <c r="AL12" s="35">
        <f>+'실적 Raw Data'!BG12</f>
        <v/>
      </c>
      <c r="AM12" s="35">
        <f>+AJ12+AK12+AL12</f>
        <v/>
      </c>
      <c r="AN12" s="35">
        <f>+AD12+AH12+AI12+AM12</f>
        <v/>
      </c>
      <c r="AO12" s="35">
        <f>+'실적 Raw Data'!BH12</f>
        <v/>
      </c>
      <c r="AP12" s="36">
        <f>+'실적 Raw Data'!BJ12</f>
        <v/>
      </c>
      <c r="AQ12" s="35">
        <f>+AO12+AP12</f>
        <v/>
      </c>
      <c r="AR12" s="35">
        <f>+'실적 Raw Data'!BK12</f>
        <v/>
      </c>
      <c r="AS12" s="35">
        <f>+AQ12+AR12</f>
        <v/>
      </c>
      <c r="AT12" s="35">
        <f>+'실적 Raw Data'!BI12</f>
        <v/>
      </c>
      <c r="AU12" s="35">
        <f>+'실적 Raw Data'!BL12</f>
        <v/>
      </c>
      <c r="AV12" s="35">
        <f>+'실적 Raw Data'!BM12</f>
        <v/>
      </c>
      <c r="AW12" s="35">
        <f>SUM(AT12:AV12)</f>
        <v/>
      </c>
      <c r="AX12" s="35">
        <f>+AY12-(+AW12+AS12+AN12)+BX12</f>
        <v/>
      </c>
      <c r="AY12" s="35">
        <f>+'실적 Raw Data'!AT12</f>
        <v/>
      </c>
      <c r="AZ12" s="35">
        <f>+'실적 Raw Data'!X12+'실적 Raw Data'!Y12+'실적 Raw Data'!Z12</f>
        <v/>
      </c>
      <c r="BA12" s="35">
        <f>+'실적 Raw Data'!S12</f>
        <v/>
      </c>
      <c r="BB12" s="35">
        <f>'실적 Raw Data'!W12</f>
        <v/>
      </c>
      <c r="BC12" s="35">
        <f>+'실적 Raw Data'!G12</f>
        <v/>
      </c>
      <c r="BD12" s="35">
        <f>+'실적 Raw Data'!CS12</f>
        <v/>
      </c>
      <c r="BE12" s="35">
        <f>+'실적 Raw Data'!CT12</f>
        <v/>
      </c>
      <c r="BF12" s="35">
        <f>+'실적 Raw Data'!CW12</f>
        <v/>
      </c>
      <c r="BG12" s="35">
        <f>+'실적 Raw Data'!DE12</f>
        <v/>
      </c>
      <c r="BH12" s="35">
        <f>+'실적 Raw Data'!DH12</f>
        <v/>
      </c>
      <c r="BI12" s="35">
        <f>+'실적 Raw Data'!DJ12</f>
        <v/>
      </c>
      <c r="BJ12" s="35">
        <f>+'실적 Raw Data'!DL12</f>
        <v/>
      </c>
      <c r="BK12" s="35">
        <f>SUM(BD12:BJ12)</f>
        <v/>
      </c>
      <c r="BL12" s="35">
        <f>+'실적 Raw Data'!BY12+'실적 Raw Data'!BZ12+'실적 Raw Data'!CA12+'실적 Raw Data'!CB12+'실적 Raw Data'!CC12+'실적 Raw Data'!CD12+'실적 Raw Data'!CE12+'실적 Raw Data'!CF12</f>
        <v/>
      </c>
      <c r="BM12" s="35">
        <f>+'실적 Raw Data'!CH12</f>
        <v/>
      </c>
      <c r="BN12" s="35">
        <f>'실적 Raw Data'!CR12</f>
        <v/>
      </c>
      <c r="BO12" s="35">
        <f>+'실적 Raw Data'!CU12</f>
        <v/>
      </c>
      <c r="BP12" s="35">
        <f>+BQ12-BL12-BM12-BN12-BO12</f>
        <v/>
      </c>
      <c r="BQ12" s="35">
        <f>+BR12-BK12</f>
        <v/>
      </c>
      <c r="BR12" s="35">
        <f>+'실적 Raw Data'!T12</f>
        <v/>
      </c>
      <c r="BS12" s="35">
        <f>BT12-BR12</f>
        <v/>
      </c>
      <c r="BT12" s="35">
        <f>+'실적 Raw Data'!BP12</f>
        <v/>
      </c>
      <c r="BU12" s="35">
        <f>+V12-BA12-BR12</f>
        <v/>
      </c>
      <c r="BV12" s="35">
        <f>+X12-BC12-BT12</f>
        <v/>
      </c>
      <c r="BW12" s="35">
        <f>IF(OR(LEFT(J13,1)="R", LEFT(J13,3)="QZZ"),0, '실적 Raw Data'!M12)</f>
        <v/>
      </c>
      <c r="BX12" s="35">
        <f>'실적 Raw Data'!V12</f>
        <v/>
      </c>
      <c r="BY12" s="27">
        <f>IF(OR(N13="V전지:SET",N13="V전지:set/oe"),BW12*22.9,BW12)</f>
        <v/>
      </c>
    </row>
    <row r="13">
      <c r="A13" s="19">
        <f>RIGHT('실적 Raw Data'!C13,4)&amp;"년"</f>
        <v/>
      </c>
      <c r="B13" s="19">
        <f>TRIM(MID('실적 Raw Data'!C13,9,4))</f>
        <v/>
      </c>
      <c r="C13" s="20">
        <f>IF(LEFT('실적 Raw Data'!A13,5)*1=20313,"차량",IF(LEFT('실적 Raw Data'!A13,5)*1=20314,"차량",IF(LEFT('실적 Raw Data'!A13,5)*1=20342,"산전","산전")))</f>
        <v/>
      </c>
      <c r="D13" s="19">
        <f>IF(LEFT('실적 Raw Data'!A13,5)*1=20342,"모티브",IF(LEFT('실적 Raw Data'!A13,5)*1=20345,"고정형",IF(LEFT('실적 Raw Data'!A13,5)*1=20313,"차량대리점","차량OE")))</f>
        <v/>
      </c>
      <c r="E13" s="21">
        <f>VLOOKUP($D13&amp;$H13,[1]지점코드!$A:$F,4,0)</f>
        <v/>
      </c>
      <c r="F13" s="21">
        <f>VLOOKUP($D13&amp;$H13,[1]지점코드!$A:$F,5,0)</f>
        <v/>
      </c>
      <c r="G13" s="21">
        <f>VLOOKUP($D13&amp;$H13,[1]지점코드!$A:$F,6,0)</f>
        <v/>
      </c>
      <c r="H13" s="19">
        <f>LEFT('실적 Raw Data'!E13,7)</f>
        <v/>
      </c>
      <c r="I13" s="19">
        <f>SUBSTITUTE((SUBSTITUTE('실적 Raw Data'!E13,H13,"")),"    ","")</f>
        <v/>
      </c>
      <c r="J13" s="19">
        <f>TRIM(LEFT('실적 Raw Data'!B13,11))</f>
        <v/>
      </c>
      <c r="K13" s="19">
        <f>TRIM((SUBSTITUTE('실적 Raw Data'!B13,J13,"")))</f>
        <v/>
      </c>
      <c r="L13" s="22">
        <f>IF(D13="모티브",VLOOKUP(C13&amp;J13,[1]제품분류!$A:$J,4,0),IF(D13="고정형",VLOOKUP(C13&amp;J13,[1]제품분류!$A:$J,4,0),IF(D13="차량대리점",VLOOKUP("차량대리점"&amp;J13,[1]제품분류!$A:$J,4,0),IF(D13="차량OE",VLOOKUP("차량OE"&amp;J13,[1]제품분류!$A:$J,4,0)))))</f>
        <v/>
      </c>
      <c r="M13" s="22">
        <f>IF(D13="모티브",VLOOKUP("산전"&amp;J13,[1]제품분류!$A:$J,5,0),IF(D13="고정형",VLOOKUP(C13&amp;J13,[1]제품분류!$A:$J,5,0),IF(D13="차량대리점",VLOOKUP("차량대리점"&amp;J13,[1]제품분류!$A:$J,5,0),IF(D13="차량OE", VLOOKUP(C13&amp;J13,[1]제품분류!$A:$J,5,0)))))</f>
        <v/>
      </c>
      <c r="N13" s="19">
        <f>IF(D13="모티브",VLOOKUP("산전"&amp;J13,[1]제품분류!$A:$J,6,0),IF(D13="고정형",VLOOKUP("산전"&amp;J13,[1]제품분류!$A:$J,6,0),IF(D13="차량대리점",VLOOKUP("차량대리점"&amp;J13,[1]제품분류!$A:$J,6,0))))</f>
        <v/>
      </c>
      <c r="O13" s="19">
        <f>IF(D13="모티브",VLOOKUP("산전"&amp;J13,[1]제품분류!$A:$J,7,0),IF(D13="고정형",VLOOKUP("산전"&amp;J13,[1]제품분류!$A:$J,7,0),IF(D13="차량대리점",VLOOKUP("차량대리점"&amp;J13,[1]제품분류!$A:$J,7,0),IF(D13="차량OE", VLOOKUP(D13&amp;J13,[1]제품분류!$A:$J,7,0)))))</f>
        <v/>
      </c>
      <c r="P13" s="19">
        <f>IF(D13="모티브",VLOOKUP("산전"&amp;J13,[1]제품분류!$A:$J,8,0),IF(D13="고정형",VLOOKUP("산전"&amp;J13,[1]제품분류!$A:$J,8,0),IF(D13="차량대리점",VLOOKUP("차량대리점"&amp;J13,[1]제품분류!$A:$J,8,0),IF(D13="차량OE", VLOOKUP(D13&amp;J13,[1]제품분류!$A:$J,8,0)))))</f>
        <v/>
      </c>
      <c r="Q13" s="34">
        <f>+'실적 Raw Data'!BN13</f>
        <v/>
      </c>
      <c r="R13" s="34">
        <f>+'실적 Raw Data'!BO13</f>
        <v/>
      </c>
      <c r="S13" s="34">
        <f>+T13-Q13-R13</f>
        <v/>
      </c>
      <c r="T13" s="35">
        <f>'실적 Raw Data'!H13</f>
        <v/>
      </c>
      <c r="U13" s="35">
        <f>'실적 Raw Data'!I13</f>
        <v/>
      </c>
      <c r="V13" s="35">
        <f>+'실적 Raw Data'!R13</f>
        <v/>
      </c>
      <c r="W13" s="35">
        <f>'실적 Raw Data'!J13</f>
        <v/>
      </c>
      <c r="X13" s="35">
        <f>'실적 Raw Data'!F13</f>
        <v/>
      </c>
      <c r="Y13" s="35">
        <f>+'실적 Raw Data'!AV13</f>
        <v/>
      </c>
      <c r="Z13" s="35">
        <f>+'실적 Raw Data'!AW13</f>
        <v/>
      </c>
      <c r="AA13" s="35">
        <f>+'실적 Raw Data'!AX13</f>
        <v/>
      </c>
      <c r="AB13" s="35">
        <f>+'실적 Raw Data'!AY13</f>
        <v/>
      </c>
      <c r="AC13" s="35">
        <f>+'실적 Raw Data'!AZ13</f>
        <v/>
      </c>
      <c r="AD13" s="35">
        <f>+Y13+Z13+AA13+AB13+AC13</f>
        <v/>
      </c>
      <c r="AE13" s="35">
        <f>+'실적 Raw Data'!BA13</f>
        <v/>
      </c>
      <c r="AF13" s="35">
        <f>+'실적 Raw Data'!BB13</f>
        <v/>
      </c>
      <c r="AG13" s="35">
        <f>+'실적 Raw Data'!BC13</f>
        <v/>
      </c>
      <c r="AH13" s="35">
        <f>+AE13+AF13+AG13</f>
        <v/>
      </c>
      <c r="AI13" s="35">
        <f>+'실적 Raw Data'!BD13</f>
        <v/>
      </c>
      <c r="AJ13" s="35">
        <f>+'실적 Raw Data'!BE13</f>
        <v/>
      </c>
      <c r="AK13" s="35">
        <f>+'실적 Raw Data'!BF13</f>
        <v/>
      </c>
      <c r="AL13" s="35">
        <f>+'실적 Raw Data'!BG13</f>
        <v/>
      </c>
      <c r="AM13" s="35">
        <f>+AJ13+AK13+AL13</f>
        <v/>
      </c>
      <c r="AN13" s="35">
        <f>+AD13+AH13+AI13+AM13</f>
        <v/>
      </c>
      <c r="AO13" s="35">
        <f>+'실적 Raw Data'!BH13</f>
        <v/>
      </c>
      <c r="AP13" s="36">
        <f>+'실적 Raw Data'!BJ13</f>
        <v/>
      </c>
      <c r="AQ13" s="35">
        <f>+AO13+AP13</f>
        <v/>
      </c>
      <c r="AR13" s="35">
        <f>+'실적 Raw Data'!BK13</f>
        <v/>
      </c>
      <c r="AS13" s="35">
        <f>+AQ13+AR13</f>
        <v/>
      </c>
      <c r="AT13" s="35">
        <f>+'실적 Raw Data'!BI13</f>
        <v/>
      </c>
      <c r="AU13" s="35">
        <f>+'실적 Raw Data'!BL13</f>
        <v/>
      </c>
      <c r="AV13" s="35">
        <f>+'실적 Raw Data'!BM13</f>
        <v/>
      </c>
      <c r="AW13" s="35">
        <f>SUM(AT13:AV13)</f>
        <v/>
      </c>
      <c r="AX13" s="35">
        <f>+AY13-(+AW13+AS13+AN13)+BX13</f>
        <v/>
      </c>
      <c r="AY13" s="35">
        <f>+'실적 Raw Data'!AT13</f>
        <v/>
      </c>
      <c r="AZ13" s="35">
        <f>+'실적 Raw Data'!X13+'실적 Raw Data'!Y13+'실적 Raw Data'!Z13</f>
        <v/>
      </c>
      <c r="BA13" s="35">
        <f>+'실적 Raw Data'!S13</f>
        <v/>
      </c>
      <c r="BB13" s="35">
        <f>'실적 Raw Data'!W13</f>
        <v/>
      </c>
      <c r="BC13" s="35">
        <f>+'실적 Raw Data'!G13</f>
        <v/>
      </c>
      <c r="BD13" s="35">
        <f>+'실적 Raw Data'!CS13</f>
        <v/>
      </c>
      <c r="BE13" s="35">
        <f>+'실적 Raw Data'!CT13</f>
        <v/>
      </c>
      <c r="BF13" s="35">
        <f>+'실적 Raw Data'!CW13</f>
        <v/>
      </c>
      <c r="BG13" s="35">
        <f>+'실적 Raw Data'!DE13</f>
        <v/>
      </c>
      <c r="BH13" s="35">
        <f>+'실적 Raw Data'!DH13</f>
        <v/>
      </c>
      <c r="BI13" s="35">
        <f>+'실적 Raw Data'!DJ13</f>
        <v/>
      </c>
      <c r="BJ13" s="35">
        <f>+'실적 Raw Data'!DL13</f>
        <v/>
      </c>
      <c r="BK13" s="35">
        <f>SUM(BD13:BJ13)</f>
        <v/>
      </c>
      <c r="BL13" s="35">
        <f>+'실적 Raw Data'!BY13+'실적 Raw Data'!BZ13+'실적 Raw Data'!CA13+'실적 Raw Data'!CB13+'실적 Raw Data'!CC13+'실적 Raw Data'!CD13+'실적 Raw Data'!CE13+'실적 Raw Data'!CF13</f>
        <v/>
      </c>
      <c r="BM13" s="35">
        <f>+'실적 Raw Data'!CH13</f>
        <v/>
      </c>
      <c r="BN13" s="35">
        <f>'실적 Raw Data'!CR13</f>
        <v/>
      </c>
      <c r="BO13" s="35">
        <f>+'실적 Raw Data'!CU13</f>
        <v/>
      </c>
      <c r="BP13" s="35">
        <f>+BQ13-BL13-BM13-BN13-BO13</f>
        <v/>
      </c>
      <c r="BQ13" s="35">
        <f>+BR13-BK13</f>
        <v/>
      </c>
      <c r="BR13" s="35">
        <f>+'실적 Raw Data'!T13</f>
        <v/>
      </c>
      <c r="BS13" s="35">
        <f>BT13-BR13</f>
        <v/>
      </c>
      <c r="BT13" s="35">
        <f>+'실적 Raw Data'!BP13</f>
        <v/>
      </c>
      <c r="BU13" s="35">
        <f>+V13-BA13-BR13</f>
        <v/>
      </c>
      <c r="BV13" s="35">
        <f>+X13-BC13-BT13</f>
        <v/>
      </c>
      <c r="BW13" s="35">
        <f>IF(OR(LEFT(J14,1)="R", LEFT(J14,3)="QZZ"),0, '실적 Raw Data'!M13)</f>
        <v/>
      </c>
      <c r="BX13" s="35">
        <f>'실적 Raw Data'!V13</f>
        <v/>
      </c>
      <c r="BY13" s="27">
        <f>IF(OR(N14="V전지:SET",N14="V전지:set/oe"),BW13*22.9,BW13)</f>
        <v/>
      </c>
    </row>
    <row r="14">
      <c r="A14" s="19">
        <f>RIGHT('실적 Raw Data'!C14,4)&amp;"년"</f>
        <v/>
      </c>
      <c r="B14" s="19">
        <f>TRIM(MID('실적 Raw Data'!C14,9,4))</f>
        <v/>
      </c>
      <c r="C14" s="20">
        <f>IF(LEFT('실적 Raw Data'!A14,5)*1=20313,"차량",IF(LEFT('실적 Raw Data'!A14,5)*1=20314,"차량",IF(LEFT('실적 Raw Data'!A14,5)*1=20342,"산전","산전")))</f>
        <v/>
      </c>
      <c r="D14" s="19">
        <f>IF(LEFT('실적 Raw Data'!A14,5)*1=20342,"모티브",IF(LEFT('실적 Raw Data'!A14,5)*1=20345,"고정형",IF(LEFT('실적 Raw Data'!A14,5)*1=20313,"차량대리점","차량OE")))</f>
        <v/>
      </c>
      <c r="E14" s="21">
        <f>VLOOKUP($D14&amp;$H14,[1]지점코드!$A:$F,4,0)</f>
        <v/>
      </c>
      <c r="F14" s="21">
        <f>VLOOKUP($D14&amp;$H14,[1]지점코드!$A:$F,5,0)</f>
        <v/>
      </c>
      <c r="G14" s="21">
        <f>VLOOKUP($D14&amp;$H14,[1]지점코드!$A:$F,6,0)</f>
        <v/>
      </c>
      <c r="H14" s="19">
        <f>LEFT('실적 Raw Data'!E14,7)</f>
        <v/>
      </c>
      <c r="I14" s="19">
        <f>SUBSTITUTE((SUBSTITUTE('실적 Raw Data'!E14,H14,"")),"    ","")</f>
        <v/>
      </c>
      <c r="J14" s="19">
        <f>TRIM(LEFT('실적 Raw Data'!B14,11))</f>
        <v/>
      </c>
      <c r="K14" s="19">
        <f>TRIM((SUBSTITUTE('실적 Raw Data'!B14,J14,"")))</f>
        <v/>
      </c>
      <c r="L14" s="22">
        <f>IF(D14="모티브",VLOOKUP(C14&amp;J14,[1]제품분류!$A:$J,4,0),IF(D14="고정형",VLOOKUP(C14&amp;J14,[1]제품분류!$A:$J,4,0),IF(D14="차량대리점",VLOOKUP("차량대리점"&amp;J14,[1]제품분류!$A:$J,4,0),IF(D14="차량OE",VLOOKUP("차량OE"&amp;J14,[1]제품분류!$A:$J,4,0)))))</f>
        <v/>
      </c>
      <c r="M14" s="22">
        <f>IF(D14="모티브",VLOOKUP("산전"&amp;J14,[1]제품분류!$A:$J,5,0),IF(D14="고정형",VLOOKUP(C14&amp;J14,[1]제품분류!$A:$J,5,0),IF(D14="차량대리점",VLOOKUP("차량대리점"&amp;J14,[1]제품분류!$A:$J,5,0),IF(D14="차량OE", VLOOKUP(C14&amp;J14,[1]제품분류!$A:$J,5,0)))))</f>
        <v/>
      </c>
      <c r="N14" s="19">
        <f>IF(D14="모티브",VLOOKUP("산전"&amp;J14,[1]제품분류!$A:$J,6,0),IF(D14="고정형",VLOOKUP("산전"&amp;J14,[1]제품분류!$A:$J,6,0),IF(D14="차량대리점",VLOOKUP("차량대리점"&amp;J14,[1]제품분류!$A:$J,6,0))))</f>
        <v/>
      </c>
      <c r="O14" s="19">
        <f>IF(D14="모티브",VLOOKUP("산전"&amp;J14,[1]제품분류!$A:$J,7,0),IF(D14="고정형",VLOOKUP("산전"&amp;J14,[1]제품분류!$A:$J,7,0),IF(D14="차량대리점",VLOOKUP("차량대리점"&amp;J14,[1]제품분류!$A:$J,7,0),IF(D14="차량OE", VLOOKUP(D14&amp;J14,[1]제품분류!$A:$J,7,0)))))</f>
        <v/>
      </c>
      <c r="P14" s="19">
        <f>IF(D14="모티브",VLOOKUP("산전"&amp;J14,[1]제품분류!$A:$J,8,0),IF(D14="고정형",VLOOKUP("산전"&amp;J14,[1]제품분류!$A:$J,8,0),IF(D14="차량대리점",VLOOKUP("차량대리점"&amp;J14,[1]제품분류!$A:$J,8,0),IF(D14="차량OE", VLOOKUP(D14&amp;J14,[1]제품분류!$A:$J,8,0)))))</f>
        <v/>
      </c>
      <c r="Q14" s="34">
        <f>+'실적 Raw Data'!BN14</f>
        <v/>
      </c>
      <c r="R14" s="34">
        <f>+'실적 Raw Data'!BO14</f>
        <v/>
      </c>
      <c r="S14" s="34">
        <f>+T14-Q14-R14</f>
        <v/>
      </c>
      <c r="T14" s="35">
        <f>'실적 Raw Data'!H14</f>
        <v/>
      </c>
      <c r="U14" s="35">
        <f>'실적 Raw Data'!I14</f>
        <v/>
      </c>
      <c r="V14" s="35">
        <f>+'실적 Raw Data'!R14</f>
        <v/>
      </c>
      <c r="W14" s="35">
        <f>'실적 Raw Data'!J14</f>
        <v/>
      </c>
      <c r="X14" s="35">
        <f>'실적 Raw Data'!F14</f>
        <v/>
      </c>
      <c r="Y14" s="35">
        <f>+'실적 Raw Data'!AV14</f>
        <v/>
      </c>
      <c r="Z14" s="35">
        <f>+'실적 Raw Data'!AW14</f>
        <v/>
      </c>
      <c r="AA14" s="35">
        <f>+'실적 Raw Data'!AX14</f>
        <v/>
      </c>
      <c r="AB14" s="35">
        <f>+'실적 Raw Data'!AY14</f>
        <v/>
      </c>
      <c r="AC14" s="35">
        <f>+'실적 Raw Data'!AZ14</f>
        <v/>
      </c>
      <c r="AD14" s="35">
        <f>+Y14+Z14+AA14+AB14+AC14</f>
        <v/>
      </c>
      <c r="AE14" s="35">
        <f>+'실적 Raw Data'!BA14</f>
        <v/>
      </c>
      <c r="AF14" s="35">
        <f>+'실적 Raw Data'!BB14</f>
        <v/>
      </c>
      <c r="AG14" s="35">
        <f>+'실적 Raw Data'!BC14</f>
        <v/>
      </c>
      <c r="AH14" s="35">
        <f>+AE14+AF14+AG14</f>
        <v/>
      </c>
      <c r="AI14" s="35">
        <f>+'실적 Raw Data'!BD14</f>
        <v/>
      </c>
      <c r="AJ14" s="35">
        <f>+'실적 Raw Data'!BE14</f>
        <v/>
      </c>
      <c r="AK14" s="35">
        <f>+'실적 Raw Data'!BF14</f>
        <v/>
      </c>
      <c r="AL14" s="35">
        <f>+'실적 Raw Data'!BG14</f>
        <v/>
      </c>
      <c r="AM14" s="35">
        <f>+AJ14+AK14+AL14</f>
        <v/>
      </c>
      <c r="AN14" s="35">
        <f>+AD14+AH14+AI14+AM14</f>
        <v/>
      </c>
      <c r="AO14" s="35">
        <f>+'실적 Raw Data'!BH14</f>
        <v/>
      </c>
      <c r="AP14" s="36">
        <f>+'실적 Raw Data'!BJ14</f>
        <v/>
      </c>
      <c r="AQ14" s="35">
        <f>+AO14+AP14</f>
        <v/>
      </c>
      <c r="AR14" s="35">
        <f>+'실적 Raw Data'!BK14</f>
        <v/>
      </c>
      <c r="AS14" s="35">
        <f>+AQ14+AR14</f>
        <v/>
      </c>
      <c r="AT14" s="35">
        <f>+'실적 Raw Data'!BI14</f>
        <v/>
      </c>
      <c r="AU14" s="35">
        <f>+'실적 Raw Data'!BL14</f>
        <v/>
      </c>
      <c r="AV14" s="35">
        <f>+'실적 Raw Data'!BM14</f>
        <v/>
      </c>
      <c r="AW14" s="35">
        <f>SUM(AT14:AV14)</f>
        <v/>
      </c>
      <c r="AX14" s="35">
        <f>+AY14-(+AW14+AS14+AN14)+BX14</f>
        <v/>
      </c>
      <c r="AY14" s="35">
        <f>+'실적 Raw Data'!AT14</f>
        <v/>
      </c>
      <c r="AZ14" s="35">
        <f>+'실적 Raw Data'!X14+'실적 Raw Data'!Y14+'실적 Raw Data'!Z14</f>
        <v/>
      </c>
      <c r="BA14" s="35">
        <f>+'실적 Raw Data'!S14</f>
        <v/>
      </c>
      <c r="BB14" s="35">
        <f>'실적 Raw Data'!W14</f>
        <v/>
      </c>
      <c r="BC14" s="35">
        <f>+'실적 Raw Data'!G14</f>
        <v/>
      </c>
      <c r="BD14" s="35">
        <f>+'실적 Raw Data'!CS14</f>
        <v/>
      </c>
      <c r="BE14" s="35">
        <f>+'실적 Raw Data'!CT14</f>
        <v/>
      </c>
      <c r="BF14" s="35">
        <f>+'실적 Raw Data'!CW14</f>
        <v/>
      </c>
      <c r="BG14" s="35">
        <f>+'실적 Raw Data'!DE14</f>
        <v/>
      </c>
      <c r="BH14" s="35">
        <f>+'실적 Raw Data'!DH14</f>
        <v/>
      </c>
      <c r="BI14" s="35">
        <f>+'실적 Raw Data'!DJ14</f>
        <v/>
      </c>
      <c r="BJ14" s="35">
        <f>+'실적 Raw Data'!DL14</f>
        <v/>
      </c>
      <c r="BK14" s="35">
        <f>SUM(BD14:BJ14)</f>
        <v/>
      </c>
      <c r="BL14" s="35">
        <f>+'실적 Raw Data'!BY14+'실적 Raw Data'!BZ14+'실적 Raw Data'!CA14+'실적 Raw Data'!CB14+'실적 Raw Data'!CC14+'실적 Raw Data'!CD14+'실적 Raw Data'!CE14+'실적 Raw Data'!CF14</f>
        <v/>
      </c>
      <c r="BM14" s="35">
        <f>+'실적 Raw Data'!CH14</f>
        <v/>
      </c>
      <c r="BN14" s="35">
        <f>'실적 Raw Data'!CR14</f>
        <v/>
      </c>
      <c r="BO14" s="35">
        <f>+'실적 Raw Data'!CU14</f>
        <v/>
      </c>
      <c r="BP14" s="35">
        <f>+BQ14-BL14-BM14-BN14-BO14</f>
        <v/>
      </c>
      <c r="BQ14" s="35">
        <f>+BR14-BK14</f>
        <v/>
      </c>
      <c r="BR14" s="35">
        <f>+'실적 Raw Data'!T14</f>
        <v/>
      </c>
      <c r="BS14" s="35">
        <f>BT14-BR14</f>
        <v/>
      </c>
      <c r="BT14" s="35">
        <f>+'실적 Raw Data'!BP14</f>
        <v/>
      </c>
      <c r="BU14" s="35">
        <f>+V14-BA14-BR14</f>
        <v/>
      </c>
      <c r="BV14" s="35">
        <f>+X14-BC14-BT14</f>
        <v/>
      </c>
      <c r="BW14" s="35">
        <f>IF(OR(LEFT(J15,1)="R", LEFT(J15,3)="QZZ"),0, '실적 Raw Data'!M14)</f>
        <v/>
      </c>
      <c r="BX14" s="35">
        <f>'실적 Raw Data'!V14</f>
        <v/>
      </c>
      <c r="BY14" s="27">
        <f>IF(OR(N15="V전지:SET",N15="V전지:set/oe"),BW14*22.9,BW14)</f>
        <v/>
      </c>
    </row>
    <row r="15">
      <c r="A15" s="19">
        <f>RIGHT('실적 Raw Data'!C15,4)&amp;"년"</f>
        <v/>
      </c>
      <c r="B15" s="19">
        <f>TRIM(MID('실적 Raw Data'!C15,9,4))</f>
        <v/>
      </c>
      <c r="C15" s="20">
        <f>IF(LEFT('실적 Raw Data'!A15,5)*1=20313,"차량",IF(LEFT('실적 Raw Data'!A15,5)*1=20314,"차량",IF(LEFT('실적 Raw Data'!A15,5)*1=20342,"산전","산전")))</f>
        <v/>
      </c>
      <c r="D15" s="19">
        <f>IF(LEFT('실적 Raw Data'!A15,5)*1=20342,"모티브",IF(LEFT('실적 Raw Data'!A15,5)*1=20345,"고정형",IF(LEFT('실적 Raw Data'!A15,5)*1=20313,"차량대리점","차량OE")))</f>
        <v/>
      </c>
      <c r="E15" s="21">
        <f>VLOOKUP($D15&amp;$H15,[1]지점코드!$A:$F,4,0)</f>
        <v/>
      </c>
      <c r="F15" s="21">
        <f>VLOOKUP($D15&amp;$H15,[1]지점코드!$A:$F,5,0)</f>
        <v/>
      </c>
      <c r="G15" s="21">
        <f>VLOOKUP($D15&amp;$H15,[1]지점코드!$A:$F,6,0)</f>
        <v/>
      </c>
      <c r="H15" s="19">
        <f>LEFT('실적 Raw Data'!E15,7)</f>
        <v/>
      </c>
      <c r="I15" s="19">
        <f>SUBSTITUTE((SUBSTITUTE('실적 Raw Data'!E15,H15,"")),"    ","")</f>
        <v/>
      </c>
      <c r="J15" s="19">
        <f>TRIM(LEFT('실적 Raw Data'!B15,11))</f>
        <v/>
      </c>
      <c r="K15" s="19">
        <f>TRIM((SUBSTITUTE('실적 Raw Data'!B15,J15,"")))</f>
        <v/>
      </c>
      <c r="L15" s="22">
        <f>IF(D15="모티브",VLOOKUP(C15&amp;J15,[1]제품분류!$A:$J,4,0),IF(D15="고정형",VLOOKUP(C15&amp;J15,[1]제품분류!$A:$J,4,0),IF(D15="차량대리점",VLOOKUP("차량대리점"&amp;J15,[1]제품분류!$A:$J,4,0),IF(D15="차량OE",VLOOKUP("차량OE"&amp;J15,[1]제품분류!$A:$J,4,0)))))</f>
        <v/>
      </c>
      <c r="M15" s="22">
        <f>IF(D15="모티브",VLOOKUP("산전"&amp;J15,[1]제품분류!$A:$J,5,0),IF(D15="고정형",VLOOKUP(C15&amp;J15,[1]제품분류!$A:$J,5,0),IF(D15="차량대리점",VLOOKUP("차량대리점"&amp;J15,[1]제품분류!$A:$J,5,0),IF(D15="차량OE", VLOOKUP(C15&amp;J15,[1]제품분류!$A:$J,5,0)))))</f>
        <v/>
      </c>
      <c r="N15" s="19">
        <f>IF(D15="모티브",VLOOKUP("산전"&amp;J15,[1]제품분류!$A:$J,6,0),IF(D15="고정형",VLOOKUP("산전"&amp;J15,[1]제품분류!$A:$J,6,0),IF(D15="차량대리점",VLOOKUP("차량대리점"&amp;J15,[1]제품분류!$A:$J,6,0))))</f>
        <v/>
      </c>
      <c r="O15" s="19">
        <f>IF(D15="모티브",VLOOKUP("산전"&amp;J15,[1]제품분류!$A:$J,7,0),IF(D15="고정형",VLOOKUP("산전"&amp;J15,[1]제품분류!$A:$J,7,0),IF(D15="차량대리점",VLOOKUP("차량대리점"&amp;J15,[1]제품분류!$A:$J,7,0),IF(D15="차량OE", VLOOKUP(D15&amp;J15,[1]제품분류!$A:$J,7,0)))))</f>
        <v/>
      </c>
      <c r="P15" s="19">
        <f>IF(D15="모티브",VLOOKUP("산전"&amp;J15,[1]제품분류!$A:$J,8,0),IF(D15="고정형",VLOOKUP("산전"&amp;J15,[1]제품분류!$A:$J,8,0),IF(D15="차량대리점",VLOOKUP("차량대리점"&amp;J15,[1]제품분류!$A:$J,8,0),IF(D15="차량OE", VLOOKUP(D15&amp;J15,[1]제품분류!$A:$J,8,0)))))</f>
        <v/>
      </c>
      <c r="Q15" s="34">
        <f>+'실적 Raw Data'!BN15</f>
        <v/>
      </c>
      <c r="R15" s="34">
        <f>+'실적 Raw Data'!BO15</f>
        <v/>
      </c>
      <c r="S15" s="34">
        <f>+T15-Q15-R15</f>
        <v/>
      </c>
      <c r="T15" s="35">
        <f>'실적 Raw Data'!H15</f>
        <v/>
      </c>
      <c r="U15" s="35">
        <f>'실적 Raw Data'!I15</f>
        <v/>
      </c>
      <c r="V15" s="35">
        <f>+'실적 Raw Data'!R15</f>
        <v/>
      </c>
      <c r="W15" s="35">
        <f>'실적 Raw Data'!J15</f>
        <v/>
      </c>
      <c r="X15" s="35">
        <f>'실적 Raw Data'!F15</f>
        <v/>
      </c>
      <c r="Y15" s="35">
        <f>+'실적 Raw Data'!AV15</f>
        <v/>
      </c>
      <c r="Z15" s="35">
        <f>+'실적 Raw Data'!AW15</f>
        <v/>
      </c>
      <c r="AA15" s="35">
        <f>+'실적 Raw Data'!AX15</f>
        <v/>
      </c>
      <c r="AB15" s="35">
        <f>+'실적 Raw Data'!AY15</f>
        <v/>
      </c>
      <c r="AC15" s="35">
        <f>+'실적 Raw Data'!AZ15</f>
        <v/>
      </c>
      <c r="AD15" s="35">
        <f>+Y15+Z15+AA15+AB15+AC15</f>
        <v/>
      </c>
      <c r="AE15" s="35">
        <f>+'실적 Raw Data'!BA15</f>
        <v/>
      </c>
      <c r="AF15" s="35">
        <f>+'실적 Raw Data'!BB15</f>
        <v/>
      </c>
      <c r="AG15" s="35">
        <f>+'실적 Raw Data'!BC15</f>
        <v/>
      </c>
      <c r="AH15" s="35">
        <f>+AE15+AF15+AG15</f>
        <v/>
      </c>
      <c r="AI15" s="35">
        <f>+'실적 Raw Data'!BD15</f>
        <v/>
      </c>
      <c r="AJ15" s="35">
        <f>+'실적 Raw Data'!BE15</f>
        <v/>
      </c>
      <c r="AK15" s="35">
        <f>+'실적 Raw Data'!BF15</f>
        <v/>
      </c>
      <c r="AL15" s="35">
        <f>+'실적 Raw Data'!BG15</f>
        <v/>
      </c>
      <c r="AM15" s="35">
        <f>+AJ15+AK15+AL15</f>
        <v/>
      </c>
      <c r="AN15" s="35">
        <f>+AD15+AH15+AI15+AM15</f>
        <v/>
      </c>
      <c r="AO15" s="35">
        <f>+'실적 Raw Data'!BH15</f>
        <v/>
      </c>
      <c r="AP15" s="36">
        <f>+'실적 Raw Data'!BJ15</f>
        <v/>
      </c>
      <c r="AQ15" s="35">
        <f>+AO15+AP15</f>
        <v/>
      </c>
      <c r="AR15" s="35">
        <f>+'실적 Raw Data'!BK15</f>
        <v/>
      </c>
      <c r="AS15" s="35">
        <f>+AQ15+AR15</f>
        <v/>
      </c>
      <c r="AT15" s="35">
        <f>+'실적 Raw Data'!BI15</f>
        <v/>
      </c>
      <c r="AU15" s="35">
        <f>+'실적 Raw Data'!BL15</f>
        <v/>
      </c>
      <c r="AV15" s="35">
        <f>+'실적 Raw Data'!BM15</f>
        <v/>
      </c>
      <c r="AW15" s="35">
        <f>SUM(AT15:AV15)</f>
        <v/>
      </c>
      <c r="AX15" s="35">
        <f>+AY15-(+AW15+AS15+AN15)+BX15</f>
        <v/>
      </c>
      <c r="AY15" s="35">
        <f>+'실적 Raw Data'!AT15</f>
        <v/>
      </c>
      <c r="AZ15" s="35">
        <f>+'실적 Raw Data'!X15+'실적 Raw Data'!Y15+'실적 Raw Data'!Z15</f>
        <v/>
      </c>
      <c r="BA15" s="35">
        <f>+'실적 Raw Data'!S15</f>
        <v/>
      </c>
      <c r="BB15" s="35">
        <f>'실적 Raw Data'!W15</f>
        <v/>
      </c>
      <c r="BC15" s="35">
        <f>+'실적 Raw Data'!G15</f>
        <v/>
      </c>
      <c r="BD15" s="35">
        <f>+'실적 Raw Data'!CS15</f>
        <v/>
      </c>
      <c r="BE15" s="35">
        <f>+'실적 Raw Data'!CT15</f>
        <v/>
      </c>
      <c r="BF15" s="35">
        <f>+'실적 Raw Data'!CW15</f>
        <v/>
      </c>
      <c r="BG15" s="35">
        <f>+'실적 Raw Data'!DE15</f>
        <v/>
      </c>
      <c r="BH15" s="35">
        <f>+'실적 Raw Data'!DH15</f>
        <v/>
      </c>
      <c r="BI15" s="35">
        <f>+'실적 Raw Data'!DJ15</f>
        <v/>
      </c>
      <c r="BJ15" s="35">
        <f>+'실적 Raw Data'!DL15</f>
        <v/>
      </c>
      <c r="BK15" s="35">
        <f>SUM(BD15:BJ15)</f>
        <v/>
      </c>
      <c r="BL15" s="35">
        <f>+'실적 Raw Data'!BY15+'실적 Raw Data'!BZ15+'실적 Raw Data'!CA15+'실적 Raw Data'!CB15+'실적 Raw Data'!CC15+'실적 Raw Data'!CD15+'실적 Raw Data'!CE15+'실적 Raw Data'!CF15</f>
        <v/>
      </c>
      <c r="BM15" s="35">
        <f>+'실적 Raw Data'!CH15</f>
        <v/>
      </c>
      <c r="BN15" s="35">
        <f>'실적 Raw Data'!CR15</f>
        <v/>
      </c>
      <c r="BO15" s="35">
        <f>+'실적 Raw Data'!CU15</f>
        <v/>
      </c>
      <c r="BP15" s="35">
        <f>+BQ15-BL15-BM15-BN15-BO15</f>
        <v/>
      </c>
      <c r="BQ15" s="35">
        <f>+BR15-BK15</f>
        <v/>
      </c>
      <c r="BR15" s="35">
        <f>+'실적 Raw Data'!T15</f>
        <v/>
      </c>
      <c r="BS15" s="35">
        <f>BT15-BR15</f>
        <v/>
      </c>
      <c r="BT15" s="35">
        <f>+'실적 Raw Data'!BP15</f>
        <v/>
      </c>
      <c r="BU15" s="35">
        <f>+V15-BA15-BR15</f>
        <v/>
      </c>
      <c r="BV15" s="35">
        <f>+X15-BC15-BT15</f>
        <v/>
      </c>
      <c r="BW15" s="35">
        <f>IF(OR(LEFT(J16,1)="R", LEFT(J16,3)="QZZ"),0, '실적 Raw Data'!M15)</f>
        <v/>
      </c>
      <c r="BX15" s="35">
        <f>'실적 Raw Data'!V15</f>
        <v/>
      </c>
      <c r="BY15" s="27">
        <f>IF(OR(N16="V전지:SET",N16="V전지:set/oe"),BW15*22.9,BW15)</f>
        <v/>
      </c>
    </row>
    <row r="16">
      <c r="A16" s="19">
        <f>RIGHT('실적 Raw Data'!C16,4)&amp;"년"</f>
        <v/>
      </c>
      <c r="B16" s="19">
        <f>TRIM(MID('실적 Raw Data'!C16,9,4))</f>
        <v/>
      </c>
      <c r="C16" s="20">
        <f>IF(LEFT('실적 Raw Data'!A16,5)*1=20313,"차량",IF(LEFT('실적 Raw Data'!A16,5)*1=20314,"차량",IF(LEFT('실적 Raw Data'!A16,5)*1=20342,"산전","산전")))</f>
        <v/>
      </c>
      <c r="D16" s="19">
        <f>IF(LEFT('실적 Raw Data'!A16,5)*1=20342,"모티브",IF(LEFT('실적 Raw Data'!A16,5)*1=20345,"고정형",IF(LEFT('실적 Raw Data'!A16,5)*1=20313,"차량대리점","차량OE")))</f>
        <v/>
      </c>
      <c r="E16" s="21">
        <f>VLOOKUP($D16&amp;$H16,[1]지점코드!$A:$F,4,0)</f>
        <v/>
      </c>
      <c r="F16" s="21">
        <f>VLOOKUP($D16&amp;$H16,[1]지점코드!$A:$F,5,0)</f>
        <v/>
      </c>
      <c r="G16" s="21">
        <f>VLOOKUP($D16&amp;$H16,[1]지점코드!$A:$F,6,0)</f>
        <v/>
      </c>
      <c r="H16" s="19">
        <f>LEFT('실적 Raw Data'!E16,7)</f>
        <v/>
      </c>
      <c r="I16" s="19">
        <f>SUBSTITUTE((SUBSTITUTE('실적 Raw Data'!E16,H16,"")),"    ","")</f>
        <v/>
      </c>
      <c r="J16" s="19">
        <f>TRIM(LEFT('실적 Raw Data'!B16,11))</f>
        <v/>
      </c>
      <c r="K16" s="19">
        <f>TRIM((SUBSTITUTE('실적 Raw Data'!B16,J16,"")))</f>
        <v/>
      </c>
      <c r="L16" s="22">
        <f>IF(D16="모티브",VLOOKUP(C16&amp;J16,[1]제품분류!$A:$J,4,0),IF(D16="고정형",VLOOKUP(C16&amp;J16,[1]제품분류!$A:$J,4,0),IF(D16="차량대리점",VLOOKUP("차량대리점"&amp;J16,[1]제품분류!$A:$J,4,0),IF(D16="차량OE",VLOOKUP("차량OE"&amp;J16,[1]제품분류!$A:$J,4,0)))))</f>
        <v/>
      </c>
      <c r="M16" s="22">
        <f>IF(D16="모티브",VLOOKUP("산전"&amp;J16,[1]제품분류!$A:$J,5,0),IF(D16="고정형",VLOOKUP(C16&amp;J16,[1]제품분류!$A:$J,5,0),IF(D16="차량대리점",VLOOKUP("차량대리점"&amp;J16,[1]제품분류!$A:$J,5,0),IF(D16="차량OE", VLOOKUP(C16&amp;J16,[1]제품분류!$A:$J,5,0)))))</f>
        <v/>
      </c>
      <c r="N16" s="19">
        <f>IF(D16="모티브",VLOOKUP("산전"&amp;J16,[1]제품분류!$A:$J,6,0),IF(D16="고정형",VLOOKUP("산전"&amp;J16,[1]제품분류!$A:$J,6,0),IF(D16="차량대리점",VLOOKUP("차량대리점"&amp;J16,[1]제품분류!$A:$J,6,0))))</f>
        <v/>
      </c>
      <c r="O16" s="19">
        <f>IF(D16="모티브",VLOOKUP("산전"&amp;J16,[1]제품분류!$A:$J,7,0),IF(D16="고정형",VLOOKUP("산전"&amp;J16,[1]제품분류!$A:$J,7,0),IF(D16="차량대리점",VLOOKUP("차량대리점"&amp;J16,[1]제품분류!$A:$J,7,0),IF(D16="차량OE", VLOOKUP(D16&amp;J16,[1]제품분류!$A:$J,7,0)))))</f>
        <v/>
      </c>
      <c r="P16" s="19">
        <f>IF(D16="모티브",VLOOKUP("산전"&amp;J16,[1]제품분류!$A:$J,8,0),IF(D16="고정형",VLOOKUP("산전"&amp;J16,[1]제품분류!$A:$J,8,0),IF(D16="차량대리점",VLOOKUP("차량대리점"&amp;J16,[1]제품분류!$A:$J,8,0),IF(D16="차량OE", VLOOKUP(D16&amp;J16,[1]제품분류!$A:$J,8,0)))))</f>
        <v/>
      </c>
      <c r="Q16" s="34">
        <f>+'실적 Raw Data'!BN16</f>
        <v/>
      </c>
      <c r="R16" s="34">
        <f>+'실적 Raw Data'!BO16</f>
        <v/>
      </c>
      <c r="S16" s="34">
        <f>+T16-Q16-R16</f>
        <v/>
      </c>
      <c r="T16" s="35">
        <f>'실적 Raw Data'!H16</f>
        <v/>
      </c>
      <c r="U16" s="35">
        <f>'실적 Raw Data'!I16</f>
        <v/>
      </c>
      <c r="V16" s="35">
        <f>+'실적 Raw Data'!R16</f>
        <v/>
      </c>
      <c r="W16" s="35">
        <f>'실적 Raw Data'!J16</f>
        <v/>
      </c>
      <c r="X16" s="35">
        <f>'실적 Raw Data'!F16</f>
        <v/>
      </c>
      <c r="Y16" s="35">
        <f>+'실적 Raw Data'!AV16</f>
        <v/>
      </c>
      <c r="Z16" s="35">
        <f>+'실적 Raw Data'!AW16</f>
        <v/>
      </c>
      <c r="AA16" s="35">
        <f>+'실적 Raw Data'!AX16</f>
        <v/>
      </c>
      <c r="AB16" s="35">
        <f>+'실적 Raw Data'!AY16</f>
        <v/>
      </c>
      <c r="AC16" s="35">
        <f>+'실적 Raw Data'!AZ16</f>
        <v/>
      </c>
      <c r="AD16" s="35">
        <f>+Y16+Z16+AA16+AB16+AC16</f>
        <v/>
      </c>
      <c r="AE16" s="35">
        <f>+'실적 Raw Data'!BA16</f>
        <v/>
      </c>
      <c r="AF16" s="35">
        <f>+'실적 Raw Data'!BB16</f>
        <v/>
      </c>
      <c r="AG16" s="35">
        <f>+'실적 Raw Data'!BC16</f>
        <v/>
      </c>
      <c r="AH16" s="35">
        <f>+AE16+AF16+AG16</f>
        <v/>
      </c>
      <c r="AI16" s="35">
        <f>+'실적 Raw Data'!BD16</f>
        <v/>
      </c>
      <c r="AJ16" s="35">
        <f>+'실적 Raw Data'!BE16</f>
        <v/>
      </c>
      <c r="AK16" s="35">
        <f>+'실적 Raw Data'!BF16</f>
        <v/>
      </c>
      <c r="AL16" s="35">
        <f>+'실적 Raw Data'!BG16</f>
        <v/>
      </c>
      <c r="AM16" s="35">
        <f>+AJ16+AK16+AL16</f>
        <v/>
      </c>
      <c r="AN16" s="35">
        <f>+AD16+AH16+AI16+AM16</f>
        <v/>
      </c>
      <c r="AO16" s="35">
        <f>+'실적 Raw Data'!BH16</f>
        <v/>
      </c>
      <c r="AP16" s="36">
        <f>+'실적 Raw Data'!BJ16</f>
        <v/>
      </c>
      <c r="AQ16" s="35">
        <f>+AO16+AP16</f>
        <v/>
      </c>
      <c r="AR16" s="35">
        <f>+'실적 Raw Data'!BK16</f>
        <v/>
      </c>
      <c r="AS16" s="35">
        <f>+AQ16+AR16</f>
        <v/>
      </c>
      <c r="AT16" s="35">
        <f>+'실적 Raw Data'!BI16</f>
        <v/>
      </c>
      <c r="AU16" s="35">
        <f>+'실적 Raw Data'!BL16</f>
        <v/>
      </c>
      <c r="AV16" s="35">
        <f>+'실적 Raw Data'!BM16</f>
        <v/>
      </c>
      <c r="AW16" s="35">
        <f>SUM(AT16:AV16)</f>
        <v/>
      </c>
      <c r="AX16" s="35">
        <f>+AY16-(+AW16+AS16+AN16)+BX16</f>
        <v/>
      </c>
      <c r="AY16" s="35">
        <f>+'실적 Raw Data'!AT16</f>
        <v/>
      </c>
      <c r="AZ16" s="35">
        <f>+'실적 Raw Data'!X16+'실적 Raw Data'!Y16+'실적 Raw Data'!Z16</f>
        <v/>
      </c>
      <c r="BA16" s="35">
        <f>+'실적 Raw Data'!S16</f>
        <v/>
      </c>
      <c r="BB16" s="35">
        <f>'실적 Raw Data'!W16</f>
        <v/>
      </c>
      <c r="BC16" s="35">
        <f>+'실적 Raw Data'!G16</f>
        <v/>
      </c>
      <c r="BD16" s="35">
        <f>+'실적 Raw Data'!CS16</f>
        <v/>
      </c>
      <c r="BE16" s="35">
        <f>+'실적 Raw Data'!CT16</f>
        <v/>
      </c>
      <c r="BF16" s="35">
        <f>+'실적 Raw Data'!CW16</f>
        <v/>
      </c>
      <c r="BG16" s="35">
        <f>+'실적 Raw Data'!DE16</f>
        <v/>
      </c>
      <c r="BH16" s="35">
        <f>+'실적 Raw Data'!DH16</f>
        <v/>
      </c>
      <c r="BI16" s="35">
        <f>+'실적 Raw Data'!DJ16</f>
        <v/>
      </c>
      <c r="BJ16" s="35">
        <f>+'실적 Raw Data'!DL16</f>
        <v/>
      </c>
      <c r="BK16" s="35">
        <f>SUM(BD16:BJ16)</f>
        <v/>
      </c>
      <c r="BL16" s="35">
        <f>+'실적 Raw Data'!BY16+'실적 Raw Data'!BZ16+'실적 Raw Data'!CA16+'실적 Raw Data'!CB16+'실적 Raw Data'!CC16+'실적 Raw Data'!CD16+'실적 Raw Data'!CE16+'실적 Raw Data'!CF16</f>
        <v/>
      </c>
      <c r="BM16" s="35">
        <f>+'실적 Raw Data'!CH16</f>
        <v/>
      </c>
      <c r="BN16" s="35">
        <f>'실적 Raw Data'!CR16</f>
        <v/>
      </c>
      <c r="BO16" s="35">
        <f>+'실적 Raw Data'!CU16</f>
        <v/>
      </c>
      <c r="BP16" s="35">
        <f>+BQ16-BL16-BM16-BN16-BO16</f>
        <v/>
      </c>
      <c r="BQ16" s="35">
        <f>+BR16-BK16</f>
        <v/>
      </c>
      <c r="BR16" s="35">
        <f>+'실적 Raw Data'!T16</f>
        <v/>
      </c>
      <c r="BS16" s="35">
        <f>BT16-BR16</f>
        <v/>
      </c>
      <c r="BT16" s="35">
        <f>+'실적 Raw Data'!BP16</f>
        <v/>
      </c>
      <c r="BU16" s="35">
        <f>+V16-BA16-BR16</f>
        <v/>
      </c>
      <c r="BV16" s="35">
        <f>+X16-BC16-BT16</f>
        <v/>
      </c>
      <c r="BW16" s="35">
        <f>IF(OR(LEFT(J17,1)="R", LEFT(J17,3)="QZZ"),0, '실적 Raw Data'!M16)</f>
        <v/>
      </c>
      <c r="BX16" s="35">
        <f>'실적 Raw Data'!V16</f>
        <v/>
      </c>
      <c r="BY16" s="27">
        <f>IF(OR(N17="V전지:SET",N17="V전지:set/oe"),BW16*22.9,BW16)</f>
        <v/>
      </c>
    </row>
    <row r="17">
      <c r="A17" s="19">
        <f>RIGHT('실적 Raw Data'!C17,4)&amp;"년"</f>
        <v/>
      </c>
      <c r="B17" s="19">
        <f>TRIM(MID('실적 Raw Data'!C17,9,4))</f>
        <v/>
      </c>
      <c r="C17" s="20">
        <f>IF(LEFT('실적 Raw Data'!A17,5)*1=20313,"차량",IF(LEFT('실적 Raw Data'!A17,5)*1=20314,"차량",IF(LEFT('실적 Raw Data'!A17,5)*1=20342,"산전","산전")))</f>
        <v/>
      </c>
      <c r="D17" s="19">
        <f>IF(LEFT('실적 Raw Data'!A17,5)*1=20342,"모티브",IF(LEFT('실적 Raw Data'!A17,5)*1=20345,"고정형",IF(LEFT('실적 Raw Data'!A17,5)*1=20313,"차량대리점","차량OE")))</f>
        <v/>
      </c>
      <c r="E17" s="21">
        <f>VLOOKUP($D17&amp;$H17,[1]지점코드!$A:$F,4,0)</f>
        <v/>
      </c>
      <c r="F17" s="21">
        <f>VLOOKUP($D17&amp;$H17,[1]지점코드!$A:$F,5,0)</f>
        <v/>
      </c>
      <c r="G17" s="21">
        <f>VLOOKUP($D17&amp;$H17,[1]지점코드!$A:$F,6,0)</f>
        <v/>
      </c>
      <c r="H17" s="19">
        <f>LEFT('실적 Raw Data'!E17,7)</f>
        <v/>
      </c>
      <c r="I17" s="19">
        <f>SUBSTITUTE((SUBSTITUTE('실적 Raw Data'!E17,H17,"")),"    ","")</f>
        <v/>
      </c>
      <c r="J17" s="19">
        <f>TRIM(LEFT('실적 Raw Data'!B17,11))</f>
        <v/>
      </c>
      <c r="K17" s="19">
        <f>TRIM((SUBSTITUTE('실적 Raw Data'!B17,J17,"")))</f>
        <v/>
      </c>
      <c r="L17" s="22">
        <f>IF(D17="모티브",VLOOKUP(C17&amp;J17,[1]제품분류!$A:$J,4,0),IF(D17="고정형",VLOOKUP(C17&amp;J17,[1]제품분류!$A:$J,4,0),IF(D17="차량대리점",VLOOKUP("차량대리점"&amp;J17,[1]제품분류!$A:$J,4,0),IF(D17="차량OE",VLOOKUP("차량OE"&amp;J17,[1]제품분류!$A:$J,4,0)))))</f>
        <v/>
      </c>
      <c r="M17" s="22">
        <f>IF(D17="모티브",VLOOKUP("산전"&amp;J17,[1]제품분류!$A:$J,5,0),IF(D17="고정형",VLOOKUP(C17&amp;J17,[1]제품분류!$A:$J,5,0),IF(D17="차량대리점",VLOOKUP("차량대리점"&amp;J17,[1]제품분류!$A:$J,5,0),IF(D17="차량OE", VLOOKUP(C17&amp;J17,[1]제품분류!$A:$J,5,0)))))</f>
        <v/>
      </c>
      <c r="N17" s="19">
        <f>IF(D17="모티브",VLOOKUP("산전"&amp;J17,[1]제품분류!$A:$J,6,0),IF(D17="고정형",VLOOKUP("산전"&amp;J17,[1]제품분류!$A:$J,6,0),IF(D17="차량대리점",VLOOKUP("차량대리점"&amp;J17,[1]제품분류!$A:$J,6,0))))</f>
        <v/>
      </c>
      <c r="O17" s="19">
        <f>IF(D17="모티브",VLOOKUP("산전"&amp;J17,[1]제품분류!$A:$J,7,0),IF(D17="고정형",VLOOKUP("산전"&amp;J17,[1]제품분류!$A:$J,7,0),IF(D17="차량대리점",VLOOKUP("차량대리점"&amp;J17,[1]제품분류!$A:$J,7,0),IF(D17="차량OE", VLOOKUP(D17&amp;J17,[1]제품분류!$A:$J,7,0)))))</f>
        <v/>
      </c>
      <c r="P17" s="19">
        <f>IF(D17="모티브",VLOOKUP("산전"&amp;J17,[1]제품분류!$A:$J,8,0),IF(D17="고정형",VLOOKUP("산전"&amp;J17,[1]제품분류!$A:$J,8,0),IF(D17="차량대리점",VLOOKUP("차량대리점"&amp;J17,[1]제품분류!$A:$J,8,0),IF(D17="차량OE", VLOOKUP(D17&amp;J17,[1]제품분류!$A:$J,8,0)))))</f>
        <v/>
      </c>
      <c r="Q17" s="34">
        <f>+'실적 Raw Data'!BN17</f>
        <v/>
      </c>
      <c r="R17" s="34">
        <f>+'실적 Raw Data'!BO17</f>
        <v/>
      </c>
      <c r="S17" s="34">
        <f>+T17-Q17-R17</f>
        <v/>
      </c>
      <c r="T17" s="35">
        <f>'실적 Raw Data'!H17</f>
        <v/>
      </c>
      <c r="U17" s="35">
        <f>'실적 Raw Data'!I17</f>
        <v/>
      </c>
      <c r="V17" s="35">
        <f>+'실적 Raw Data'!R17</f>
        <v/>
      </c>
      <c r="W17" s="35">
        <f>'실적 Raw Data'!J17</f>
        <v/>
      </c>
      <c r="X17" s="35">
        <f>'실적 Raw Data'!F17</f>
        <v/>
      </c>
      <c r="Y17" s="35">
        <f>+'실적 Raw Data'!AV17</f>
        <v/>
      </c>
      <c r="Z17" s="35">
        <f>+'실적 Raw Data'!AW17</f>
        <v/>
      </c>
      <c r="AA17" s="35">
        <f>+'실적 Raw Data'!AX17</f>
        <v/>
      </c>
      <c r="AB17" s="35">
        <f>+'실적 Raw Data'!AY17</f>
        <v/>
      </c>
      <c r="AC17" s="35">
        <f>+'실적 Raw Data'!AZ17</f>
        <v/>
      </c>
      <c r="AD17" s="35">
        <f>+Y17+Z17+AA17+AB17+AC17</f>
        <v/>
      </c>
      <c r="AE17" s="35">
        <f>+'실적 Raw Data'!BA17</f>
        <v/>
      </c>
      <c r="AF17" s="35">
        <f>+'실적 Raw Data'!BB17</f>
        <v/>
      </c>
      <c r="AG17" s="35">
        <f>+'실적 Raw Data'!BC17</f>
        <v/>
      </c>
      <c r="AH17" s="35">
        <f>+AE17+AF17+AG17</f>
        <v/>
      </c>
      <c r="AI17" s="35">
        <f>+'실적 Raw Data'!BD17</f>
        <v/>
      </c>
      <c r="AJ17" s="35">
        <f>+'실적 Raw Data'!BE17</f>
        <v/>
      </c>
      <c r="AK17" s="35">
        <f>+'실적 Raw Data'!BF17</f>
        <v/>
      </c>
      <c r="AL17" s="35">
        <f>+'실적 Raw Data'!BG17</f>
        <v/>
      </c>
      <c r="AM17" s="35">
        <f>+AJ17+AK17+AL17</f>
        <v/>
      </c>
      <c r="AN17" s="35">
        <f>+AD17+AH17+AI17+AM17</f>
        <v/>
      </c>
      <c r="AO17" s="35">
        <f>+'실적 Raw Data'!BH17</f>
        <v/>
      </c>
      <c r="AP17" s="36">
        <f>+'실적 Raw Data'!BJ17</f>
        <v/>
      </c>
      <c r="AQ17" s="35">
        <f>+AO17+AP17</f>
        <v/>
      </c>
      <c r="AR17" s="35">
        <f>+'실적 Raw Data'!BK17</f>
        <v/>
      </c>
      <c r="AS17" s="35">
        <f>+AQ17+AR17</f>
        <v/>
      </c>
      <c r="AT17" s="35">
        <f>+'실적 Raw Data'!BI17</f>
        <v/>
      </c>
      <c r="AU17" s="35">
        <f>+'실적 Raw Data'!BL17</f>
        <v/>
      </c>
      <c r="AV17" s="35">
        <f>+'실적 Raw Data'!BM17</f>
        <v/>
      </c>
      <c r="AW17" s="35">
        <f>SUM(AT17:AV17)</f>
        <v/>
      </c>
      <c r="AX17" s="35">
        <f>+AY17-(+AW17+AS17+AN17)+BX17</f>
        <v/>
      </c>
      <c r="AY17" s="35">
        <f>+'실적 Raw Data'!AT17</f>
        <v/>
      </c>
      <c r="AZ17" s="35">
        <f>+'실적 Raw Data'!X17+'실적 Raw Data'!Y17+'실적 Raw Data'!Z17</f>
        <v/>
      </c>
      <c r="BA17" s="35">
        <f>+'실적 Raw Data'!S17</f>
        <v/>
      </c>
      <c r="BB17" s="35">
        <f>'실적 Raw Data'!W17</f>
        <v/>
      </c>
      <c r="BC17" s="35">
        <f>+'실적 Raw Data'!G17</f>
        <v/>
      </c>
      <c r="BD17" s="35">
        <f>+'실적 Raw Data'!CS17</f>
        <v/>
      </c>
      <c r="BE17" s="35">
        <f>+'실적 Raw Data'!CT17</f>
        <v/>
      </c>
      <c r="BF17" s="35">
        <f>+'실적 Raw Data'!CW17</f>
        <v/>
      </c>
      <c r="BG17" s="35">
        <f>+'실적 Raw Data'!DE17</f>
        <v/>
      </c>
      <c r="BH17" s="35">
        <f>+'실적 Raw Data'!DH17</f>
        <v/>
      </c>
      <c r="BI17" s="35">
        <f>+'실적 Raw Data'!DJ17</f>
        <v/>
      </c>
      <c r="BJ17" s="35">
        <f>+'실적 Raw Data'!DL17</f>
        <v/>
      </c>
      <c r="BK17" s="35">
        <f>SUM(BD17:BJ17)</f>
        <v/>
      </c>
      <c r="BL17" s="35">
        <f>+'실적 Raw Data'!BY17+'실적 Raw Data'!BZ17+'실적 Raw Data'!CA17+'실적 Raw Data'!CB17+'실적 Raw Data'!CC17+'실적 Raw Data'!CD17+'실적 Raw Data'!CE17+'실적 Raw Data'!CF17</f>
        <v/>
      </c>
      <c r="BM17" s="35">
        <f>+'실적 Raw Data'!CH17</f>
        <v/>
      </c>
      <c r="BN17" s="35">
        <f>'실적 Raw Data'!CR17</f>
        <v/>
      </c>
      <c r="BO17" s="35">
        <f>+'실적 Raw Data'!CU17</f>
        <v/>
      </c>
      <c r="BP17" s="35">
        <f>+BQ17-BL17-BM17-BN17-BO17</f>
        <v/>
      </c>
      <c r="BQ17" s="35">
        <f>+BR17-BK17</f>
        <v/>
      </c>
      <c r="BR17" s="35">
        <f>+'실적 Raw Data'!T17</f>
        <v/>
      </c>
      <c r="BS17" s="35">
        <f>BT17-BR17</f>
        <v/>
      </c>
      <c r="BT17" s="35">
        <f>+'실적 Raw Data'!BP17</f>
        <v/>
      </c>
      <c r="BU17" s="35">
        <f>+V17-BA17-BR17</f>
        <v/>
      </c>
      <c r="BV17" s="35">
        <f>+X17-BC17-BT17</f>
        <v/>
      </c>
      <c r="BW17" s="35">
        <f>IF(OR(LEFT(J18,1)="R", LEFT(J18,3)="QZZ"),0, '실적 Raw Data'!M17)</f>
        <v/>
      </c>
      <c r="BX17" s="35">
        <f>'실적 Raw Data'!V17</f>
        <v/>
      </c>
      <c r="BY17" s="27">
        <f>IF(OR(N18="V전지:SET",N18="V전지:set/oe"),BW17*22.9,BW17)</f>
        <v/>
      </c>
    </row>
    <row r="18">
      <c r="A18" s="19">
        <f>RIGHT('실적 Raw Data'!C18,4)&amp;"년"</f>
        <v/>
      </c>
      <c r="B18" s="19">
        <f>TRIM(MID('실적 Raw Data'!C18,9,4))</f>
        <v/>
      </c>
      <c r="C18" s="20">
        <f>IF(LEFT('실적 Raw Data'!A18,5)*1=20313,"차량",IF(LEFT('실적 Raw Data'!A18,5)*1=20314,"차량",IF(LEFT('실적 Raw Data'!A18,5)*1=20342,"산전","산전")))</f>
        <v/>
      </c>
      <c r="D18" s="19">
        <f>IF(LEFT('실적 Raw Data'!A18,5)*1=20342,"모티브",IF(LEFT('실적 Raw Data'!A18,5)*1=20345,"고정형",IF(LEFT('실적 Raw Data'!A18,5)*1=20313,"차량대리점","차량OE")))</f>
        <v/>
      </c>
      <c r="E18" s="21">
        <f>VLOOKUP($D18&amp;$H18,[1]지점코드!$A:$F,4,0)</f>
        <v/>
      </c>
      <c r="F18" s="21">
        <f>VLOOKUP($D18&amp;$H18,[1]지점코드!$A:$F,5,0)</f>
        <v/>
      </c>
      <c r="G18" s="21">
        <f>VLOOKUP($D18&amp;$H18,[1]지점코드!$A:$F,6,0)</f>
        <v/>
      </c>
      <c r="H18" s="19">
        <f>LEFT('실적 Raw Data'!E18,7)</f>
        <v/>
      </c>
      <c r="I18" s="19">
        <f>SUBSTITUTE((SUBSTITUTE('실적 Raw Data'!E18,H18,"")),"    ","")</f>
        <v/>
      </c>
      <c r="J18" s="19">
        <f>TRIM(LEFT('실적 Raw Data'!B18,11))</f>
        <v/>
      </c>
      <c r="K18" s="19">
        <f>TRIM((SUBSTITUTE('실적 Raw Data'!B18,J18,"")))</f>
        <v/>
      </c>
      <c r="L18" s="22">
        <f>IF(D18="모티브",VLOOKUP(C18&amp;J18,[1]제품분류!$A:$J,4,0),IF(D18="고정형",VLOOKUP(C18&amp;J18,[1]제품분류!$A:$J,4,0),IF(D18="차량대리점",VLOOKUP("차량대리점"&amp;J18,[1]제품분류!$A:$J,4,0),IF(D18="차량OE",VLOOKUP("차량OE"&amp;J18,[1]제품분류!$A:$J,4,0)))))</f>
        <v/>
      </c>
      <c r="M18" s="22">
        <f>IF(D18="모티브",VLOOKUP("산전"&amp;J18,[1]제품분류!$A:$J,5,0),IF(D18="고정형",VLOOKUP(C18&amp;J18,[1]제품분류!$A:$J,5,0),IF(D18="차량대리점",VLOOKUP("차량대리점"&amp;J18,[1]제품분류!$A:$J,5,0),IF(D18="차량OE", VLOOKUP(C18&amp;J18,[1]제품분류!$A:$J,5,0)))))</f>
        <v/>
      </c>
      <c r="N18" s="19">
        <f>IF(D18="모티브",VLOOKUP("산전"&amp;J18,[1]제품분류!$A:$J,6,0),IF(D18="고정형",VLOOKUP("산전"&amp;J18,[1]제품분류!$A:$J,6,0),IF(D18="차량대리점",VLOOKUP("차량대리점"&amp;J18,[1]제품분류!$A:$J,6,0))))</f>
        <v/>
      </c>
      <c r="O18" s="19">
        <f>IF(D18="모티브",VLOOKUP("산전"&amp;J18,[1]제품분류!$A:$J,7,0),IF(D18="고정형",VLOOKUP("산전"&amp;J18,[1]제품분류!$A:$J,7,0),IF(D18="차량대리점",VLOOKUP("차량대리점"&amp;J18,[1]제품분류!$A:$J,7,0),IF(D18="차량OE", VLOOKUP(D18&amp;J18,[1]제품분류!$A:$J,7,0)))))</f>
        <v/>
      </c>
      <c r="P18" s="19">
        <f>IF(D18="모티브",VLOOKUP("산전"&amp;J18,[1]제품분류!$A:$J,8,0),IF(D18="고정형",VLOOKUP("산전"&amp;J18,[1]제품분류!$A:$J,8,0),IF(D18="차량대리점",VLOOKUP("차량대리점"&amp;J18,[1]제품분류!$A:$J,8,0),IF(D18="차량OE", VLOOKUP(D18&amp;J18,[1]제품분류!$A:$J,8,0)))))</f>
        <v/>
      </c>
      <c r="Q18" s="34">
        <f>+'실적 Raw Data'!BN18</f>
        <v/>
      </c>
      <c r="R18" s="34">
        <f>+'실적 Raw Data'!BO18</f>
        <v/>
      </c>
      <c r="S18" s="34">
        <f>+T18-Q18-R18</f>
        <v/>
      </c>
      <c r="T18" s="35">
        <f>'실적 Raw Data'!H18</f>
        <v/>
      </c>
      <c r="U18" s="35">
        <f>'실적 Raw Data'!I18</f>
        <v/>
      </c>
      <c r="V18" s="35">
        <f>+'실적 Raw Data'!R18</f>
        <v/>
      </c>
      <c r="W18" s="35">
        <f>'실적 Raw Data'!J18</f>
        <v/>
      </c>
      <c r="X18" s="35">
        <f>'실적 Raw Data'!F18</f>
        <v/>
      </c>
      <c r="Y18" s="35">
        <f>+'실적 Raw Data'!AV18</f>
        <v/>
      </c>
      <c r="Z18" s="35">
        <f>+'실적 Raw Data'!AW18</f>
        <v/>
      </c>
      <c r="AA18" s="35">
        <f>+'실적 Raw Data'!AX18</f>
        <v/>
      </c>
      <c r="AB18" s="35">
        <f>+'실적 Raw Data'!AY18</f>
        <v/>
      </c>
      <c r="AC18" s="35">
        <f>+'실적 Raw Data'!AZ18</f>
        <v/>
      </c>
      <c r="AD18" s="35">
        <f>+Y18+Z18+AA18+AB18+AC18</f>
        <v/>
      </c>
      <c r="AE18" s="35">
        <f>+'실적 Raw Data'!BA18</f>
        <v/>
      </c>
      <c r="AF18" s="35">
        <f>+'실적 Raw Data'!BB18</f>
        <v/>
      </c>
      <c r="AG18" s="35">
        <f>+'실적 Raw Data'!BC18</f>
        <v/>
      </c>
      <c r="AH18" s="35">
        <f>+AE18+AF18+AG18</f>
        <v/>
      </c>
      <c r="AI18" s="35">
        <f>+'실적 Raw Data'!BD18</f>
        <v/>
      </c>
      <c r="AJ18" s="35">
        <f>+'실적 Raw Data'!BE18</f>
        <v/>
      </c>
      <c r="AK18" s="35">
        <f>+'실적 Raw Data'!BF18</f>
        <v/>
      </c>
      <c r="AL18" s="35">
        <f>+'실적 Raw Data'!BG18</f>
        <v/>
      </c>
      <c r="AM18" s="35">
        <f>+AJ18+AK18+AL18</f>
        <v/>
      </c>
      <c r="AN18" s="35">
        <f>+AD18+AH18+AI18+AM18</f>
        <v/>
      </c>
      <c r="AO18" s="35">
        <f>+'실적 Raw Data'!BH18</f>
        <v/>
      </c>
      <c r="AP18" s="36">
        <f>+'실적 Raw Data'!BJ18</f>
        <v/>
      </c>
      <c r="AQ18" s="35">
        <f>+AO18+AP18</f>
        <v/>
      </c>
      <c r="AR18" s="35">
        <f>+'실적 Raw Data'!BK18</f>
        <v/>
      </c>
      <c r="AS18" s="35">
        <f>+AQ18+AR18</f>
        <v/>
      </c>
      <c r="AT18" s="35">
        <f>+'실적 Raw Data'!BI18</f>
        <v/>
      </c>
      <c r="AU18" s="35">
        <f>+'실적 Raw Data'!BL18</f>
        <v/>
      </c>
      <c r="AV18" s="35">
        <f>+'실적 Raw Data'!BM18</f>
        <v/>
      </c>
      <c r="AW18" s="35">
        <f>SUM(AT18:AV18)</f>
        <v/>
      </c>
      <c r="AX18" s="35">
        <f>+AY18-(+AW18+AS18+AN18)+BX18</f>
        <v/>
      </c>
      <c r="AY18" s="35">
        <f>+'실적 Raw Data'!AT18</f>
        <v/>
      </c>
      <c r="AZ18" s="35">
        <f>+'실적 Raw Data'!X18+'실적 Raw Data'!Y18+'실적 Raw Data'!Z18</f>
        <v/>
      </c>
      <c r="BA18" s="35">
        <f>+'실적 Raw Data'!S18</f>
        <v/>
      </c>
      <c r="BB18" s="35">
        <f>'실적 Raw Data'!W18</f>
        <v/>
      </c>
      <c r="BC18" s="35">
        <f>+'실적 Raw Data'!G18</f>
        <v/>
      </c>
      <c r="BD18" s="35">
        <f>+'실적 Raw Data'!CS18</f>
        <v/>
      </c>
      <c r="BE18" s="35">
        <f>+'실적 Raw Data'!CT18</f>
        <v/>
      </c>
      <c r="BF18" s="35">
        <f>+'실적 Raw Data'!CW18</f>
        <v/>
      </c>
      <c r="BG18" s="35">
        <f>+'실적 Raw Data'!DE18</f>
        <v/>
      </c>
      <c r="BH18" s="35">
        <f>+'실적 Raw Data'!DH18</f>
        <v/>
      </c>
      <c r="BI18" s="35">
        <f>+'실적 Raw Data'!DJ18</f>
        <v/>
      </c>
      <c r="BJ18" s="35">
        <f>+'실적 Raw Data'!DL18</f>
        <v/>
      </c>
      <c r="BK18" s="35">
        <f>SUM(BD18:BJ18)</f>
        <v/>
      </c>
      <c r="BL18" s="35">
        <f>+'실적 Raw Data'!BY18+'실적 Raw Data'!BZ18+'실적 Raw Data'!CA18+'실적 Raw Data'!CB18+'실적 Raw Data'!CC18+'실적 Raw Data'!CD18+'실적 Raw Data'!CE18+'실적 Raw Data'!CF18</f>
        <v/>
      </c>
      <c r="BM18" s="35">
        <f>+'실적 Raw Data'!CH18</f>
        <v/>
      </c>
      <c r="BN18" s="35">
        <f>'실적 Raw Data'!CR18</f>
        <v/>
      </c>
      <c r="BO18" s="35">
        <f>+'실적 Raw Data'!CU18</f>
        <v/>
      </c>
      <c r="BP18" s="35">
        <f>+BQ18-BL18-BM18-BN18-BO18</f>
        <v/>
      </c>
      <c r="BQ18" s="35">
        <f>+BR18-BK18</f>
        <v/>
      </c>
      <c r="BR18" s="35">
        <f>+'실적 Raw Data'!T18</f>
        <v/>
      </c>
      <c r="BS18" s="35">
        <f>BT18-BR18</f>
        <v/>
      </c>
      <c r="BT18" s="35">
        <f>+'실적 Raw Data'!BP18</f>
        <v/>
      </c>
      <c r="BU18" s="35">
        <f>+V18-BA18-BR18</f>
        <v/>
      </c>
      <c r="BV18" s="35">
        <f>+X18-BC18-BT18</f>
        <v/>
      </c>
      <c r="BW18" s="35">
        <f>IF(OR(LEFT(J19,1)="R", LEFT(J19,3)="QZZ"),0, '실적 Raw Data'!M18)</f>
        <v/>
      </c>
      <c r="BX18" s="35">
        <f>'실적 Raw Data'!V18</f>
        <v/>
      </c>
      <c r="BY18" s="27">
        <f>IF(OR(N19="V전지:SET",N19="V전지:set/oe"),BW18*22.9,BW18)</f>
        <v/>
      </c>
    </row>
    <row r="19">
      <c r="A19" s="19">
        <f>RIGHT('실적 Raw Data'!C19,4)&amp;"년"</f>
        <v/>
      </c>
      <c r="B19" s="19">
        <f>TRIM(MID('실적 Raw Data'!C19,9,4))</f>
        <v/>
      </c>
      <c r="C19" s="20">
        <f>IF(LEFT('실적 Raw Data'!A19,5)*1=20313,"차량",IF(LEFT('실적 Raw Data'!A19,5)*1=20314,"차량",IF(LEFT('실적 Raw Data'!A19,5)*1=20342,"산전","산전")))</f>
        <v/>
      </c>
      <c r="D19" s="19">
        <f>IF(LEFT('실적 Raw Data'!A19,5)*1=20342,"모티브",IF(LEFT('실적 Raw Data'!A19,5)*1=20345,"고정형",IF(LEFT('실적 Raw Data'!A19,5)*1=20313,"차량대리점","차량OE")))</f>
        <v/>
      </c>
      <c r="E19" s="21">
        <f>VLOOKUP($D19&amp;$H19,[1]지점코드!$A:$F,4,0)</f>
        <v/>
      </c>
      <c r="F19" s="21">
        <f>VLOOKUP($D19&amp;$H19,[1]지점코드!$A:$F,5,0)</f>
        <v/>
      </c>
      <c r="G19" s="21">
        <f>VLOOKUP($D19&amp;$H19,[1]지점코드!$A:$F,6,0)</f>
        <v/>
      </c>
      <c r="H19" s="19">
        <f>LEFT('실적 Raw Data'!E19,7)</f>
        <v/>
      </c>
      <c r="I19" s="19">
        <f>SUBSTITUTE((SUBSTITUTE('실적 Raw Data'!E19,H19,"")),"    ","")</f>
        <v/>
      </c>
      <c r="J19" s="19">
        <f>TRIM(LEFT('실적 Raw Data'!B19,11))</f>
        <v/>
      </c>
      <c r="K19" s="19">
        <f>TRIM((SUBSTITUTE('실적 Raw Data'!B19,J19,"")))</f>
        <v/>
      </c>
      <c r="L19" s="22">
        <f>IF(D19="모티브",VLOOKUP(C19&amp;J19,[1]제품분류!$A:$J,4,0),IF(D19="고정형",VLOOKUP(C19&amp;J19,[1]제품분류!$A:$J,4,0),IF(D19="차량대리점",VLOOKUP("차량대리점"&amp;J19,[1]제품분류!$A:$J,4,0),IF(D19="차량OE",VLOOKUP("차량OE"&amp;J19,[1]제품분류!$A:$J,4,0)))))</f>
        <v/>
      </c>
      <c r="M19" s="22">
        <f>IF(D19="모티브",VLOOKUP("산전"&amp;J19,[1]제품분류!$A:$J,5,0),IF(D19="고정형",VLOOKUP(C19&amp;J19,[1]제품분류!$A:$J,5,0),IF(D19="차량대리점",VLOOKUP("차량대리점"&amp;J19,[1]제품분류!$A:$J,5,0),IF(D19="차량OE", VLOOKUP(C19&amp;J19,[1]제품분류!$A:$J,5,0)))))</f>
        <v/>
      </c>
      <c r="N19" s="19">
        <f>IF(D19="모티브",VLOOKUP("산전"&amp;J19,[1]제품분류!$A:$J,6,0),IF(D19="고정형",VLOOKUP("산전"&amp;J19,[1]제품분류!$A:$J,6,0),IF(D19="차량대리점",VLOOKUP("차량대리점"&amp;J19,[1]제품분류!$A:$J,6,0))))</f>
        <v/>
      </c>
      <c r="O19" s="19">
        <f>IF(D19="모티브",VLOOKUP("산전"&amp;J19,[1]제품분류!$A:$J,7,0),IF(D19="고정형",VLOOKUP("산전"&amp;J19,[1]제품분류!$A:$J,7,0),IF(D19="차량대리점",VLOOKUP("차량대리점"&amp;J19,[1]제품분류!$A:$J,7,0),IF(D19="차량OE", VLOOKUP(D19&amp;J19,[1]제품분류!$A:$J,7,0)))))</f>
        <v/>
      </c>
      <c r="P19" s="19">
        <f>IF(D19="모티브",VLOOKUP("산전"&amp;J19,[1]제품분류!$A:$J,8,0),IF(D19="고정형",VLOOKUP("산전"&amp;J19,[1]제품분류!$A:$J,8,0),IF(D19="차량대리점",VLOOKUP("차량대리점"&amp;J19,[1]제품분류!$A:$J,8,0),IF(D19="차량OE", VLOOKUP(D19&amp;J19,[1]제품분류!$A:$J,8,0)))))</f>
        <v/>
      </c>
      <c r="Q19" s="34">
        <f>+'실적 Raw Data'!BN19</f>
        <v/>
      </c>
      <c r="R19" s="34">
        <f>+'실적 Raw Data'!BO19</f>
        <v/>
      </c>
      <c r="S19" s="34">
        <f>+T19-Q19-R19</f>
        <v/>
      </c>
      <c r="T19" s="35">
        <f>'실적 Raw Data'!H19</f>
        <v/>
      </c>
      <c r="U19" s="35">
        <f>'실적 Raw Data'!I19</f>
        <v/>
      </c>
      <c r="V19" s="35">
        <f>+'실적 Raw Data'!R19</f>
        <v/>
      </c>
      <c r="W19" s="35">
        <f>'실적 Raw Data'!J19</f>
        <v/>
      </c>
      <c r="X19" s="35">
        <f>'실적 Raw Data'!F19</f>
        <v/>
      </c>
      <c r="Y19" s="35">
        <f>+'실적 Raw Data'!AV19</f>
        <v/>
      </c>
      <c r="Z19" s="35">
        <f>+'실적 Raw Data'!AW19</f>
        <v/>
      </c>
      <c r="AA19" s="35">
        <f>+'실적 Raw Data'!AX19</f>
        <v/>
      </c>
      <c r="AB19" s="35">
        <f>+'실적 Raw Data'!AY19</f>
        <v/>
      </c>
      <c r="AC19" s="35">
        <f>+'실적 Raw Data'!AZ19</f>
        <v/>
      </c>
      <c r="AD19" s="35">
        <f>+Y19+Z19+AA19+AB19+AC19</f>
        <v/>
      </c>
      <c r="AE19" s="35">
        <f>+'실적 Raw Data'!BA19</f>
        <v/>
      </c>
      <c r="AF19" s="35">
        <f>+'실적 Raw Data'!BB19</f>
        <v/>
      </c>
      <c r="AG19" s="35">
        <f>+'실적 Raw Data'!BC19</f>
        <v/>
      </c>
      <c r="AH19" s="35">
        <f>+AE19+AF19+AG19</f>
        <v/>
      </c>
      <c r="AI19" s="35">
        <f>+'실적 Raw Data'!BD19</f>
        <v/>
      </c>
      <c r="AJ19" s="35">
        <f>+'실적 Raw Data'!BE19</f>
        <v/>
      </c>
      <c r="AK19" s="35">
        <f>+'실적 Raw Data'!BF19</f>
        <v/>
      </c>
      <c r="AL19" s="35">
        <f>+'실적 Raw Data'!BG19</f>
        <v/>
      </c>
      <c r="AM19" s="35">
        <f>+AJ19+AK19+AL19</f>
        <v/>
      </c>
      <c r="AN19" s="35">
        <f>+AD19+AH19+AI19+AM19</f>
        <v/>
      </c>
      <c r="AO19" s="35">
        <f>+'실적 Raw Data'!BH19</f>
        <v/>
      </c>
      <c r="AP19" s="36">
        <f>+'실적 Raw Data'!BJ19</f>
        <v/>
      </c>
      <c r="AQ19" s="35">
        <f>+AO19+AP19</f>
        <v/>
      </c>
      <c r="AR19" s="35">
        <f>+'실적 Raw Data'!BK19</f>
        <v/>
      </c>
      <c r="AS19" s="35">
        <f>+AQ19+AR19</f>
        <v/>
      </c>
      <c r="AT19" s="35">
        <f>+'실적 Raw Data'!BI19</f>
        <v/>
      </c>
      <c r="AU19" s="35">
        <f>+'실적 Raw Data'!BL19</f>
        <v/>
      </c>
      <c r="AV19" s="35">
        <f>+'실적 Raw Data'!BM19</f>
        <v/>
      </c>
      <c r="AW19" s="35">
        <f>SUM(AT19:AV19)</f>
        <v/>
      </c>
      <c r="AX19" s="35">
        <f>+AY19-(+AW19+AS19+AN19)+BX19</f>
        <v/>
      </c>
      <c r="AY19" s="35">
        <f>+'실적 Raw Data'!AT19</f>
        <v/>
      </c>
      <c r="AZ19" s="35">
        <f>+'실적 Raw Data'!X19+'실적 Raw Data'!Y19+'실적 Raw Data'!Z19</f>
        <v/>
      </c>
      <c r="BA19" s="35">
        <f>+'실적 Raw Data'!S19</f>
        <v/>
      </c>
      <c r="BB19" s="35">
        <f>'실적 Raw Data'!W19</f>
        <v/>
      </c>
      <c r="BC19" s="35">
        <f>+'실적 Raw Data'!G19</f>
        <v/>
      </c>
      <c r="BD19" s="35">
        <f>+'실적 Raw Data'!CS19</f>
        <v/>
      </c>
      <c r="BE19" s="35">
        <f>+'실적 Raw Data'!CT19</f>
        <v/>
      </c>
      <c r="BF19" s="35">
        <f>+'실적 Raw Data'!CW19</f>
        <v/>
      </c>
      <c r="BG19" s="35">
        <f>+'실적 Raw Data'!DE19</f>
        <v/>
      </c>
      <c r="BH19" s="35">
        <f>+'실적 Raw Data'!DH19</f>
        <v/>
      </c>
      <c r="BI19" s="35">
        <f>+'실적 Raw Data'!DJ19</f>
        <v/>
      </c>
      <c r="BJ19" s="35">
        <f>+'실적 Raw Data'!DL19</f>
        <v/>
      </c>
      <c r="BK19" s="35">
        <f>SUM(BD19:BJ19)</f>
        <v/>
      </c>
      <c r="BL19" s="35">
        <f>+'실적 Raw Data'!BY19+'실적 Raw Data'!BZ19+'실적 Raw Data'!CA19+'실적 Raw Data'!CB19+'실적 Raw Data'!CC19+'실적 Raw Data'!CD19+'실적 Raw Data'!CE19+'실적 Raw Data'!CF19</f>
        <v/>
      </c>
      <c r="BM19" s="35">
        <f>+'실적 Raw Data'!CH19</f>
        <v/>
      </c>
      <c r="BN19" s="35">
        <f>'실적 Raw Data'!CR19</f>
        <v/>
      </c>
      <c r="BO19" s="35">
        <f>+'실적 Raw Data'!CU19</f>
        <v/>
      </c>
      <c r="BP19" s="35">
        <f>+BQ19-BL19-BM19-BN19-BO19</f>
        <v/>
      </c>
      <c r="BQ19" s="35">
        <f>+BR19-BK19</f>
        <v/>
      </c>
      <c r="BR19" s="35">
        <f>+'실적 Raw Data'!T19</f>
        <v/>
      </c>
      <c r="BS19" s="35">
        <f>BT19-BR19</f>
        <v/>
      </c>
      <c r="BT19" s="35">
        <f>+'실적 Raw Data'!BP19</f>
        <v/>
      </c>
      <c r="BU19" s="35">
        <f>+V19-BA19-BR19</f>
        <v/>
      </c>
      <c r="BV19" s="35">
        <f>+X19-BC19-BT19</f>
        <v/>
      </c>
      <c r="BW19" s="35">
        <f>IF(OR(LEFT(J20,1)="R", LEFT(J20,3)="QZZ"),0, '실적 Raw Data'!M19)</f>
        <v/>
      </c>
      <c r="BX19" s="35">
        <f>'실적 Raw Data'!V19</f>
        <v/>
      </c>
      <c r="BY19" s="27">
        <f>IF(OR(N20="V전지:SET",N20="V전지:set/oe"),BW19*22.9,BW19)</f>
        <v/>
      </c>
    </row>
    <row r="20">
      <c r="A20" s="19">
        <f>RIGHT('실적 Raw Data'!C20,4)&amp;"년"</f>
        <v/>
      </c>
      <c r="B20" s="19">
        <f>TRIM(MID('실적 Raw Data'!C20,9,4))</f>
        <v/>
      </c>
      <c r="C20" s="20">
        <f>IF(LEFT('실적 Raw Data'!A20,5)*1=20313,"차량",IF(LEFT('실적 Raw Data'!A20,5)*1=20314,"차량",IF(LEFT('실적 Raw Data'!A20,5)*1=20342,"산전","산전")))</f>
        <v/>
      </c>
      <c r="D20" s="19">
        <f>IF(LEFT('실적 Raw Data'!A20,5)*1=20342,"모티브",IF(LEFT('실적 Raw Data'!A20,5)*1=20345,"고정형",IF(LEFT('실적 Raw Data'!A20,5)*1=20313,"차량대리점","차량OE")))</f>
        <v/>
      </c>
      <c r="E20" s="21">
        <f>VLOOKUP($D20&amp;$H20,[1]지점코드!$A:$F,4,0)</f>
        <v/>
      </c>
      <c r="F20" s="21">
        <f>VLOOKUP($D20&amp;$H20,[1]지점코드!$A:$F,5,0)</f>
        <v/>
      </c>
      <c r="G20" s="21">
        <f>VLOOKUP($D20&amp;$H20,[1]지점코드!$A:$F,6,0)</f>
        <v/>
      </c>
      <c r="H20" s="19">
        <f>LEFT('실적 Raw Data'!E20,7)</f>
        <v/>
      </c>
      <c r="I20" s="19">
        <f>SUBSTITUTE((SUBSTITUTE('실적 Raw Data'!E20,H20,"")),"    ","")</f>
        <v/>
      </c>
      <c r="J20" s="19">
        <f>TRIM(LEFT('실적 Raw Data'!B20,11))</f>
        <v/>
      </c>
      <c r="K20" s="19">
        <f>TRIM((SUBSTITUTE('실적 Raw Data'!B20,J20,"")))</f>
        <v/>
      </c>
      <c r="L20" s="22">
        <f>IF(D20="모티브",VLOOKUP(C20&amp;J20,[1]제품분류!$A:$J,4,0),IF(D20="고정형",VLOOKUP(C20&amp;J20,[1]제품분류!$A:$J,4,0),IF(D20="차량대리점",VLOOKUP("차량대리점"&amp;J20,[1]제품분류!$A:$J,4,0),IF(D20="차량OE",VLOOKUP("차량OE"&amp;J20,[1]제품분류!$A:$J,4,0)))))</f>
        <v/>
      </c>
      <c r="M20" s="22">
        <f>IF(D20="모티브",VLOOKUP("산전"&amp;J20,[1]제품분류!$A:$J,5,0),IF(D20="고정형",VLOOKUP(C20&amp;J20,[1]제품분류!$A:$J,5,0),IF(D20="차량대리점",VLOOKUP("차량대리점"&amp;J20,[1]제품분류!$A:$J,5,0),IF(D20="차량OE", VLOOKUP(C20&amp;J20,[1]제품분류!$A:$J,5,0)))))</f>
        <v/>
      </c>
      <c r="N20" s="19">
        <f>IF(D20="모티브",VLOOKUP("산전"&amp;J20,[1]제품분류!$A:$J,6,0),IF(D20="고정형",VLOOKUP("산전"&amp;J20,[1]제품분류!$A:$J,6,0),IF(D20="차량대리점",VLOOKUP("차량대리점"&amp;J20,[1]제품분류!$A:$J,6,0))))</f>
        <v/>
      </c>
      <c r="O20" s="19">
        <f>IF(D20="모티브",VLOOKUP("산전"&amp;J20,[1]제품분류!$A:$J,7,0),IF(D20="고정형",VLOOKUP("산전"&amp;J20,[1]제품분류!$A:$J,7,0),IF(D20="차량대리점",VLOOKUP("차량대리점"&amp;J20,[1]제품분류!$A:$J,7,0),IF(D20="차량OE", VLOOKUP(D20&amp;J20,[1]제품분류!$A:$J,7,0)))))</f>
        <v/>
      </c>
      <c r="P20" s="19">
        <f>IF(D20="모티브",VLOOKUP("산전"&amp;J20,[1]제품분류!$A:$J,8,0),IF(D20="고정형",VLOOKUP("산전"&amp;J20,[1]제품분류!$A:$J,8,0),IF(D20="차량대리점",VLOOKUP("차량대리점"&amp;J20,[1]제품분류!$A:$J,8,0),IF(D20="차량OE", VLOOKUP(D20&amp;J20,[1]제품분류!$A:$J,8,0)))))</f>
        <v/>
      </c>
      <c r="Q20" s="34">
        <f>+'실적 Raw Data'!BN20</f>
        <v/>
      </c>
      <c r="R20" s="34">
        <f>+'실적 Raw Data'!BO20</f>
        <v/>
      </c>
      <c r="S20" s="34">
        <f>+T20-Q20-R20</f>
        <v/>
      </c>
      <c r="T20" s="35">
        <f>'실적 Raw Data'!H20</f>
        <v/>
      </c>
      <c r="U20" s="35">
        <f>'실적 Raw Data'!I20</f>
        <v/>
      </c>
      <c r="V20" s="35">
        <f>+'실적 Raw Data'!R20</f>
        <v/>
      </c>
      <c r="W20" s="35">
        <f>'실적 Raw Data'!J20</f>
        <v/>
      </c>
      <c r="X20" s="35">
        <f>'실적 Raw Data'!F20</f>
        <v/>
      </c>
      <c r="Y20" s="35">
        <f>+'실적 Raw Data'!AV20</f>
        <v/>
      </c>
      <c r="Z20" s="35">
        <f>+'실적 Raw Data'!AW20</f>
        <v/>
      </c>
      <c r="AA20" s="35">
        <f>+'실적 Raw Data'!AX20</f>
        <v/>
      </c>
      <c r="AB20" s="35">
        <f>+'실적 Raw Data'!AY20</f>
        <v/>
      </c>
      <c r="AC20" s="35">
        <f>+'실적 Raw Data'!AZ20</f>
        <v/>
      </c>
      <c r="AD20" s="35">
        <f>+Y20+Z20+AA20+AB20+AC20</f>
        <v/>
      </c>
      <c r="AE20" s="35">
        <f>+'실적 Raw Data'!BA20</f>
        <v/>
      </c>
      <c r="AF20" s="35">
        <f>+'실적 Raw Data'!BB20</f>
        <v/>
      </c>
      <c r="AG20" s="35">
        <f>+'실적 Raw Data'!BC20</f>
        <v/>
      </c>
      <c r="AH20" s="35">
        <f>+AE20+AF20+AG20</f>
        <v/>
      </c>
      <c r="AI20" s="35">
        <f>+'실적 Raw Data'!BD20</f>
        <v/>
      </c>
      <c r="AJ20" s="35">
        <f>+'실적 Raw Data'!BE20</f>
        <v/>
      </c>
      <c r="AK20" s="35">
        <f>+'실적 Raw Data'!BF20</f>
        <v/>
      </c>
      <c r="AL20" s="35">
        <f>+'실적 Raw Data'!BG20</f>
        <v/>
      </c>
      <c r="AM20" s="35">
        <f>+AJ20+AK20+AL20</f>
        <v/>
      </c>
      <c r="AN20" s="35">
        <f>+AD20+AH20+AI20+AM20</f>
        <v/>
      </c>
      <c r="AO20" s="35">
        <f>+'실적 Raw Data'!BH20</f>
        <v/>
      </c>
      <c r="AP20" s="36">
        <f>+'실적 Raw Data'!BJ20</f>
        <v/>
      </c>
      <c r="AQ20" s="35">
        <f>+AO20+AP20</f>
        <v/>
      </c>
      <c r="AR20" s="35">
        <f>+'실적 Raw Data'!BK20</f>
        <v/>
      </c>
      <c r="AS20" s="35">
        <f>+AQ20+AR20</f>
        <v/>
      </c>
      <c r="AT20" s="35">
        <f>+'실적 Raw Data'!BI20</f>
        <v/>
      </c>
      <c r="AU20" s="35">
        <f>+'실적 Raw Data'!BL20</f>
        <v/>
      </c>
      <c r="AV20" s="35">
        <f>+'실적 Raw Data'!BM20</f>
        <v/>
      </c>
      <c r="AW20" s="35">
        <f>SUM(AT20:AV20)</f>
        <v/>
      </c>
      <c r="AX20" s="35">
        <f>+AY20-(+AW20+AS20+AN20)+BX20</f>
        <v/>
      </c>
      <c r="AY20" s="35">
        <f>+'실적 Raw Data'!AT20</f>
        <v/>
      </c>
      <c r="AZ20" s="35">
        <f>+'실적 Raw Data'!X20+'실적 Raw Data'!Y20+'실적 Raw Data'!Z20</f>
        <v/>
      </c>
      <c r="BA20" s="35">
        <f>+'실적 Raw Data'!S20</f>
        <v/>
      </c>
      <c r="BB20" s="35">
        <f>'실적 Raw Data'!W20</f>
        <v/>
      </c>
      <c r="BC20" s="35">
        <f>+'실적 Raw Data'!G20</f>
        <v/>
      </c>
      <c r="BD20" s="35">
        <f>+'실적 Raw Data'!CS20</f>
        <v/>
      </c>
      <c r="BE20" s="35">
        <f>+'실적 Raw Data'!CT20</f>
        <v/>
      </c>
      <c r="BF20" s="35">
        <f>+'실적 Raw Data'!CW20</f>
        <v/>
      </c>
      <c r="BG20" s="35">
        <f>+'실적 Raw Data'!DE20</f>
        <v/>
      </c>
      <c r="BH20" s="35">
        <f>+'실적 Raw Data'!DH20</f>
        <v/>
      </c>
      <c r="BI20" s="35">
        <f>+'실적 Raw Data'!DJ20</f>
        <v/>
      </c>
      <c r="BJ20" s="35">
        <f>+'실적 Raw Data'!DL20</f>
        <v/>
      </c>
      <c r="BK20" s="35">
        <f>SUM(BD20:BJ20)</f>
        <v/>
      </c>
      <c r="BL20" s="35">
        <f>+'실적 Raw Data'!BY20+'실적 Raw Data'!BZ20+'실적 Raw Data'!CA20+'실적 Raw Data'!CB20+'실적 Raw Data'!CC20+'실적 Raw Data'!CD20+'실적 Raw Data'!CE20+'실적 Raw Data'!CF20</f>
        <v/>
      </c>
      <c r="BM20" s="35">
        <f>+'실적 Raw Data'!CH20</f>
        <v/>
      </c>
      <c r="BN20" s="35">
        <f>'실적 Raw Data'!CR20</f>
        <v/>
      </c>
      <c r="BO20" s="35">
        <f>+'실적 Raw Data'!CU20</f>
        <v/>
      </c>
      <c r="BP20" s="35">
        <f>+BQ20-BL20-BM20-BN20-BO20</f>
        <v/>
      </c>
      <c r="BQ20" s="35">
        <f>+BR20-BK20</f>
        <v/>
      </c>
      <c r="BR20" s="35">
        <f>+'실적 Raw Data'!T20</f>
        <v/>
      </c>
      <c r="BS20" s="35">
        <f>BT20-BR20</f>
        <v/>
      </c>
      <c r="BT20" s="35">
        <f>+'실적 Raw Data'!BP20</f>
        <v/>
      </c>
      <c r="BU20" s="35">
        <f>+V20-BA20-BR20</f>
        <v/>
      </c>
      <c r="BV20" s="35">
        <f>+X20-BC20-BT20</f>
        <v/>
      </c>
      <c r="BW20" s="35">
        <f>IF(OR(LEFT(J21,1)="R", LEFT(J21,3)="QZZ"),0, '실적 Raw Data'!M20)</f>
        <v/>
      </c>
      <c r="BX20" s="35">
        <f>'실적 Raw Data'!V20</f>
        <v/>
      </c>
      <c r="BY20" s="27">
        <f>IF(OR(N21="V전지:SET",N21="V전지:set/oe"),BW20*22.9,BW20)</f>
        <v/>
      </c>
    </row>
    <row r="21">
      <c r="A21" s="19">
        <f>RIGHT('실적 Raw Data'!C21,4)&amp;"년"</f>
        <v/>
      </c>
      <c r="B21" s="19">
        <f>TRIM(MID('실적 Raw Data'!C21,9,4))</f>
        <v/>
      </c>
      <c r="C21" s="20">
        <f>IF(LEFT('실적 Raw Data'!A21,5)*1=20313,"차량",IF(LEFT('실적 Raw Data'!A21,5)*1=20314,"차량",IF(LEFT('실적 Raw Data'!A21,5)*1=20342,"산전","산전")))</f>
        <v/>
      </c>
      <c r="D21" s="19">
        <f>IF(LEFT('실적 Raw Data'!A21,5)*1=20342,"모티브",IF(LEFT('실적 Raw Data'!A21,5)*1=20345,"고정형",IF(LEFT('실적 Raw Data'!A21,5)*1=20313,"차량대리점","차량OE")))</f>
        <v/>
      </c>
      <c r="E21" s="21">
        <f>VLOOKUP($D21&amp;$H21,[1]지점코드!$A:$F,4,0)</f>
        <v/>
      </c>
      <c r="F21" s="21">
        <f>VLOOKUP($D21&amp;$H21,[1]지점코드!$A:$F,5,0)</f>
        <v/>
      </c>
      <c r="G21" s="21">
        <f>VLOOKUP($D21&amp;$H21,[1]지점코드!$A:$F,6,0)</f>
        <v/>
      </c>
      <c r="H21" s="19">
        <f>LEFT('실적 Raw Data'!E21,7)</f>
        <v/>
      </c>
      <c r="I21" s="19">
        <f>SUBSTITUTE((SUBSTITUTE('실적 Raw Data'!E21,H21,"")),"    ","")</f>
        <v/>
      </c>
      <c r="J21" s="19">
        <f>TRIM(LEFT('실적 Raw Data'!B21,11))</f>
        <v/>
      </c>
      <c r="K21" s="19">
        <f>TRIM((SUBSTITUTE('실적 Raw Data'!B21,J21,"")))</f>
        <v/>
      </c>
      <c r="L21" s="22">
        <f>IF(D21="모티브",VLOOKUP(C21&amp;J21,[1]제품분류!$A:$J,4,0),IF(D21="고정형",VLOOKUP(C21&amp;J21,[1]제품분류!$A:$J,4,0),IF(D21="차량대리점",VLOOKUP("차량대리점"&amp;J21,[1]제품분류!$A:$J,4,0),IF(D21="차량OE",VLOOKUP("차량OE"&amp;J21,[1]제품분류!$A:$J,4,0)))))</f>
        <v/>
      </c>
      <c r="M21" s="22">
        <f>IF(D21="모티브",VLOOKUP("산전"&amp;J21,[1]제품분류!$A:$J,5,0),IF(D21="고정형",VLOOKUP(C21&amp;J21,[1]제품분류!$A:$J,5,0),IF(D21="차량대리점",VLOOKUP("차량대리점"&amp;J21,[1]제품분류!$A:$J,5,0),IF(D21="차량OE", VLOOKUP(C21&amp;J21,[1]제품분류!$A:$J,5,0)))))</f>
        <v/>
      </c>
      <c r="N21" s="19">
        <f>IF(D21="모티브",VLOOKUP("산전"&amp;J21,[1]제품분류!$A:$J,6,0),IF(D21="고정형",VLOOKUP("산전"&amp;J21,[1]제품분류!$A:$J,6,0),IF(D21="차량대리점",VLOOKUP("차량대리점"&amp;J21,[1]제품분류!$A:$J,6,0))))</f>
        <v/>
      </c>
      <c r="O21" s="19">
        <f>IF(D21="모티브",VLOOKUP("산전"&amp;J21,[1]제품분류!$A:$J,7,0),IF(D21="고정형",VLOOKUP("산전"&amp;J21,[1]제품분류!$A:$J,7,0),IF(D21="차량대리점",VLOOKUP("차량대리점"&amp;J21,[1]제품분류!$A:$J,7,0),IF(D21="차량OE", VLOOKUP(D21&amp;J21,[1]제품분류!$A:$J,7,0)))))</f>
        <v/>
      </c>
      <c r="P21" s="19">
        <f>IF(D21="모티브",VLOOKUP("산전"&amp;J21,[1]제품분류!$A:$J,8,0),IF(D21="고정형",VLOOKUP("산전"&amp;J21,[1]제품분류!$A:$J,8,0),IF(D21="차량대리점",VLOOKUP("차량대리점"&amp;J21,[1]제품분류!$A:$J,8,0),IF(D21="차량OE", VLOOKUP(D21&amp;J21,[1]제품분류!$A:$J,8,0)))))</f>
        <v/>
      </c>
      <c r="Q21" s="34">
        <f>+'실적 Raw Data'!BN21</f>
        <v/>
      </c>
      <c r="R21" s="34">
        <f>+'실적 Raw Data'!BO21</f>
        <v/>
      </c>
      <c r="S21" s="34">
        <f>+T21-Q21-R21</f>
        <v/>
      </c>
      <c r="T21" s="35">
        <f>'실적 Raw Data'!H21</f>
        <v/>
      </c>
      <c r="U21" s="35">
        <f>'실적 Raw Data'!I21</f>
        <v/>
      </c>
      <c r="V21" s="35">
        <f>+'실적 Raw Data'!R21</f>
        <v/>
      </c>
      <c r="W21" s="35">
        <f>'실적 Raw Data'!J21</f>
        <v/>
      </c>
      <c r="X21" s="35">
        <f>'실적 Raw Data'!F21</f>
        <v/>
      </c>
      <c r="Y21" s="35">
        <f>+'실적 Raw Data'!AV21</f>
        <v/>
      </c>
      <c r="Z21" s="35">
        <f>+'실적 Raw Data'!AW21</f>
        <v/>
      </c>
      <c r="AA21" s="35">
        <f>+'실적 Raw Data'!AX21</f>
        <v/>
      </c>
      <c r="AB21" s="35">
        <f>+'실적 Raw Data'!AY21</f>
        <v/>
      </c>
      <c r="AC21" s="35">
        <f>+'실적 Raw Data'!AZ21</f>
        <v/>
      </c>
      <c r="AD21" s="35">
        <f>+Y21+Z21+AA21+AB21+AC21</f>
        <v/>
      </c>
      <c r="AE21" s="35">
        <f>+'실적 Raw Data'!BA21</f>
        <v/>
      </c>
      <c r="AF21" s="35">
        <f>+'실적 Raw Data'!BB21</f>
        <v/>
      </c>
      <c r="AG21" s="35">
        <f>+'실적 Raw Data'!BC21</f>
        <v/>
      </c>
      <c r="AH21" s="35">
        <f>+AE21+AF21+AG21</f>
        <v/>
      </c>
      <c r="AI21" s="35">
        <f>+'실적 Raw Data'!BD21</f>
        <v/>
      </c>
      <c r="AJ21" s="35">
        <f>+'실적 Raw Data'!BE21</f>
        <v/>
      </c>
      <c r="AK21" s="35">
        <f>+'실적 Raw Data'!BF21</f>
        <v/>
      </c>
      <c r="AL21" s="35">
        <f>+'실적 Raw Data'!BG21</f>
        <v/>
      </c>
      <c r="AM21" s="35">
        <f>+AJ21+AK21+AL21</f>
        <v/>
      </c>
      <c r="AN21" s="35">
        <f>+AD21+AH21+AI21+AM21</f>
        <v/>
      </c>
      <c r="AO21" s="35">
        <f>+'실적 Raw Data'!BH21</f>
        <v/>
      </c>
      <c r="AP21" s="36">
        <f>+'실적 Raw Data'!BJ21</f>
        <v/>
      </c>
      <c r="AQ21" s="35">
        <f>+AO21+AP21</f>
        <v/>
      </c>
      <c r="AR21" s="35">
        <f>+'실적 Raw Data'!BK21</f>
        <v/>
      </c>
      <c r="AS21" s="35">
        <f>+AQ21+AR21</f>
        <v/>
      </c>
      <c r="AT21" s="35">
        <f>+'실적 Raw Data'!BI21</f>
        <v/>
      </c>
      <c r="AU21" s="35">
        <f>+'실적 Raw Data'!BL21</f>
        <v/>
      </c>
      <c r="AV21" s="35">
        <f>+'실적 Raw Data'!BM21</f>
        <v/>
      </c>
      <c r="AW21" s="35">
        <f>SUM(AT21:AV21)</f>
        <v/>
      </c>
      <c r="AX21" s="35">
        <f>+AY21-(+AW21+AS21+AN21)+BX21</f>
        <v/>
      </c>
      <c r="AY21" s="35">
        <f>+'실적 Raw Data'!AT21</f>
        <v/>
      </c>
      <c r="AZ21" s="35">
        <f>+'실적 Raw Data'!X21+'실적 Raw Data'!Y21+'실적 Raw Data'!Z21</f>
        <v/>
      </c>
      <c r="BA21" s="35">
        <f>+'실적 Raw Data'!S21</f>
        <v/>
      </c>
      <c r="BB21" s="35">
        <f>'실적 Raw Data'!W21</f>
        <v/>
      </c>
      <c r="BC21" s="35">
        <f>+'실적 Raw Data'!G21</f>
        <v/>
      </c>
      <c r="BD21" s="35">
        <f>+'실적 Raw Data'!CS21</f>
        <v/>
      </c>
      <c r="BE21" s="35">
        <f>+'실적 Raw Data'!CT21</f>
        <v/>
      </c>
      <c r="BF21" s="35">
        <f>+'실적 Raw Data'!CW21</f>
        <v/>
      </c>
      <c r="BG21" s="35">
        <f>+'실적 Raw Data'!DE21</f>
        <v/>
      </c>
      <c r="BH21" s="35">
        <f>+'실적 Raw Data'!DH21</f>
        <v/>
      </c>
      <c r="BI21" s="35">
        <f>+'실적 Raw Data'!DJ21</f>
        <v/>
      </c>
      <c r="BJ21" s="35">
        <f>+'실적 Raw Data'!DL21</f>
        <v/>
      </c>
      <c r="BK21" s="35">
        <f>SUM(BD21:BJ21)</f>
        <v/>
      </c>
      <c r="BL21" s="35">
        <f>+'실적 Raw Data'!BY21+'실적 Raw Data'!BZ21+'실적 Raw Data'!CA21+'실적 Raw Data'!CB21+'실적 Raw Data'!CC21+'실적 Raw Data'!CD21+'실적 Raw Data'!CE21+'실적 Raw Data'!CF21</f>
        <v/>
      </c>
      <c r="BM21" s="35">
        <f>+'실적 Raw Data'!CH21</f>
        <v/>
      </c>
      <c r="BN21" s="35">
        <f>'실적 Raw Data'!CR21</f>
        <v/>
      </c>
      <c r="BO21" s="35">
        <f>+'실적 Raw Data'!CU21</f>
        <v/>
      </c>
      <c r="BP21" s="35">
        <f>+BQ21-BL21-BM21-BN21-BO21</f>
        <v/>
      </c>
      <c r="BQ21" s="35">
        <f>+BR21-BK21</f>
        <v/>
      </c>
      <c r="BR21" s="35">
        <f>+'실적 Raw Data'!T21</f>
        <v/>
      </c>
      <c r="BS21" s="35">
        <f>BT21-BR21</f>
        <v/>
      </c>
      <c r="BT21" s="35">
        <f>+'실적 Raw Data'!BP21</f>
        <v/>
      </c>
      <c r="BU21" s="35">
        <f>+V21-BA21-BR21</f>
        <v/>
      </c>
      <c r="BV21" s="35">
        <f>+X21-BC21-BT21</f>
        <v/>
      </c>
      <c r="BW21" s="35">
        <f>IF(OR(LEFT(J22,1)="R", LEFT(J22,3)="QZZ"),0, '실적 Raw Data'!M21)</f>
        <v/>
      </c>
      <c r="BX21" s="35">
        <f>'실적 Raw Data'!V21</f>
        <v/>
      </c>
      <c r="BY21" s="27">
        <f>IF(OR(N22="V전지:SET",N22="V전지:set/oe"),BW21*22.9,BW21)</f>
        <v/>
      </c>
    </row>
    <row r="22">
      <c r="A22" s="19">
        <f>RIGHT('실적 Raw Data'!C22,4)&amp;"년"</f>
        <v/>
      </c>
      <c r="B22" s="19">
        <f>TRIM(MID('실적 Raw Data'!C22,9,4))</f>
        <v/>
      </c>
      <c r="C22" s="20">
        <f>IF(LEFT('실적 Raw Data'!A22,5)*1=20313,"차량",IF(LEFT('실적 Raw Data'!A22,5)*1=20314,"차량",IF(LEFT('실적 Raw Data'!A22,5)*1=20342,"산전","산전")))</f>
        <v/>
      </c>
      <c r="D22" s="19">
        <f>IF(LEFT('실적 Raw Data'!A22,5)*1=20342,"모티브",IF(LEFT('실적 Raw Data'!A22,5)*1=20345,"고정형",IF(LEFT('실적 Raw Data'!A22,5)*1=20313,"차량대리점","차량OE")))</f>
        <v/>
      </c>
      <c r="E22" s="21">
        <f>VLOOKUP($D22&amp;$H22,[1]지점코드!$A:$F,4,0)</f>
        <v/>
      </c>
      <c r="F22" s="21">
        <f>VLOOKUP($D22&amp;$H22,[1]지점코드!$A:$F,5,0)</f>
        <v/>
      </c>
      <c r="G22" s="21">
        <f>VLOOKUP($D22&amp;$H22,[1]지점코드!$A:$F,6,0)</f>
        <v/>
      </c>
      <c r="H22" s="19">
        <f>LEFT('실적 Raw Data'!E22,7)</f>
        <v/>
      </c>
      <c r="I22" s="19">
        <f>SUBSTITUTE((SUBSTITUTE('실적 Raw Data'!E22,H22,"")),"    ","")</f>
        <v/>
      </c>
      <c r="J22" s="19">
        <f>TRIM(LEFT('실적 Raw Data'!B22,11))</f>
        <v/>
      </c>
      <c r="K22" s="19">
        <f>TRIM((SUBSTITUTE('실적 Raw Data'!B22,J22,"")))</f>
        <v/>
      </c>
      <c r="L22" s="22">
        <f>IF(D22="모티브",VLOOKUP(C22&amp;J22,[1]제품분류!$A:$J,4,0),IF(D22="고정형",VLOOKUP(C22&amp;J22,[1]제품분류!$A:$J,4,0),IF(D22="차량대리점",VLOOKUP("차량대리점"&amp;J22,[1]제품분류!$A:$J,4,0),IF(D22="차량OE",VLOOKUP("차량OE"&amp;J22,[1]제품분류!$A:$J,4,0)))))</f>
        <v/>
      </c>
      <c r="M22" s="22">
        <f>IF(D22="모티브",VLOOKUP("산전"&amp;J22,[1]제품분류!$A:$J,5,0),IF(D22="고정형",VLOOKUP(C22&amp;J22,[1]제품분류!$A:$J,5,0),IF(D22="차량대리점",VLOOKUP("차량대리점"&amp;J22,[1]제품분류!$A:$J,5,0),IF(D22="차량OE", VLOOKUP(C22&amp;J22,[1]제품분류!$A:$J,5,0)))))</f>
        <v/>
      </c>
      <c r="N22" s="19">
        <f>IF(D22="모티브",VLOOKUP("산전"&amp;J22,[1]제품분류!$A:$J,6,0),IF(D22="고정형",VLOOKUP("산전"&amp;J22,[1]제품분류!$A:$J,6,0),IF(D22="차량대리점",VLOOKUP("차량대리점"&amp;J22,[1]제품분류!$A:$J,6,0))))</f>
        <v/>
      </c>
      <c r="O22" s="19">
        <f>IF(D22="모티브",VLOOKUP("산전"&amp;J22,[1]제품분류!$A:$J,7,0),IF(D22="고정형",VLOOKUP("산전"&amp;J22,[1]제품분류!$A:$J,7,0),IF(D22="차량대리점",VLOOKUP("차량대리점"&amp;J22,[1]제품분류!$A:$J,7,0),IF(D22="차량OE", VLOOKUP(D22&amp;J22,[1]제품분류!$A:$J,7,0)))))</f>
        <v/>
      </c>
      <c r="P22" s="19">
        <f>IF(D22="모티브",VLOOKUP("산전"&amp;J22,[1]제품분류!$A:$J,8,0),IF(D22="고정형",VLOOKUP("산전"&amp;J22,[1]제품분류!$A:$J,8,0),IF(D22="차량대리점",VLOOKUP("차량대리점"&amp;J22,[1]제품분류!$A:$J,8,0),IF(D22="차량OE", VLOOKUP(D22&amp;J22,[1]제품분류!$A:$J,8,0)))))</f>
        <v/>
      </c>
      <c r="Q22" s="34">
        <f>+'실적 Raw Data'!BN22</f>
        <v/>
      </c>
      <c r="R22" s="34">
        <f>+'실적 Raw Data'!BO22</f>
        <v/>
      </c>
      <c r="S22" s="34">
        <f>+T22-Q22-R22</f>
        <v/>
      </c>
      <c r="T22" s="35">
        <f>'실적 Raw Data'!H22</f>
        <v/>
      </c>
      <c r="U22" s="35">
        <f>'실적 Raw Data'!I22</f>
        <v/>
      </c>
      <c r="V22" s="35">
        <f>+'실적 Raw Data'!R22</f>
        <v/>
      </c>
      <c r="W22" s="35">
        <f>'실적 Raw Data'!J22</f>
        <v/>
      </c>
      <c r="X22" s="35">
        <f>'실적 Raw Data'!F22</f>
        <v/>
      </c>
      <c r="Y22" s="35">
        <f>+'실적 Raw Data'!AV22</f>
        <v/>
      </c>
      <c r="Z22" s="35">
        <f>+'실적 Raw Data'!AW22</f>
        <v/>
      </c>
      <c r="AA22" s="35">
        <f>+'실적 Raw Data'!AX22</f>
        <v/>
      </c>
      <c r="AB22" s="35">
        <f>+'실적 Raw Data'!AY22</f>
        <v/>
      </c>
      <c r="AC22" s="35">
        <f>+'실적 Raw Data'!AZ22</f>
        <v/>
      </c>
      <c r="AD22" s="35">
        <f>+Y22+Z22+AA22+AB22+AC22</f>
        <v/>
      </c>
      <c r="AE22" s="35">
        <f>+'실적 Raw Data'!BA22</f>
        <v/>
      </c>
      <c r="AF22" s="35">
        <f>+'실적 Raw Data'!BB22</f>
        <v/>
      </c>
      <c r="AG22" s="35">
        <f>+'실적 Raw Data'!BC22</f>
        <v/>
      </c>
      <c r="AH22" s="35">
        <f>+AE22+AF22+AG22</f>
        <v/>
      </c>
      <c r="AI22" s="35">
        <f>+'실적 Raw Data'!BD22</f>
        <v/>
      </c>
      <c r="AJ22" s="35">
        <f>+'실적 Raw Data'!BE22</f>
        <v/>
      </c>
      <c r="AK22" s="35">
        <f>+'실적 Raw Data'!BF22</f>
        <v/>
      </c>
      <c r="AL22" s="35">
        <f>+'실적 Raw Data'!BG22</f>
        <v/>
      </c>
      <c r="AM22" s="35">
        <f>+AJ22+AK22+AL22</f>
        <v/>
      </c>
      <c r="AN22" s="35">
        <f>+AD22+AH22+AI22+AM22</f>
        <v/>
      </c>
      <c r="AO22" s="35">
        <f>+'실적 Raw Data'!BH22</f>
        <v/>
      </c>
      <c r="AP22" s="36">
        <f>+'실적 Raw Data'!BJ22</f>
        <v/>
      </c>
      <c r="AQ22" s="35">
        <f>+AO22+AP22</f>
        <v/>
      </c>
      <c r="AR22" s="35">
        <f>+'실적 Raw Data'!BK22</f>
        <v/>
      </c>
      <c r="AS22" s="35">
        <f>+AQ22+AR22</f>
        <v/>
      </c>
      <c r="AT22" s="35">
        <f>+'실적 Raw Data'!BI22</f>
        <v/>
      </c>
      <c r="AU22" s="35">
        <f>+'실적 Raw Data'!BL22</f>
        <v/>
      </c>
      <c r="AV22" s="35">
        <f>+'실적 Raw Data'!BM22</f>
        <v/>
      </c>
      <c r="AW22" s="35">
        <f>SUM(AT22:AV22)</f>
        <v/>
      </c>
      <c r="AX22" s="35">
        <f>+AY22-(+AW22+AS22+AN22)+BX22</f>
        <v/>
      </c>
      <c r="AY22" s="35">
        <f>+'실적 Raw Data'!AT22</f>
        <v/>
      </c>
      <c r="AZ22" s="35">
        <f>+'실적 Raw Data'!X22+'실적 Raw Data'!Y22+'실적 Raw Data'!Z22</f>
        <v/>
      </c>
      <c r="BA22" s="35">
        <f>+'실적 Raw Data'!S22</f>
        <v/>
      </c>
      <c r="BB22" s="35">
        <f>'실적 Raw Data'!W22</f>
        <v/>
      </c>
      <c r="BC22" s="35">
        <f>+'실적 Raw Data'!G22</f>
        <v/>
      </c>
      <c r="BD22" s="35">
        <f>+'실적 Raw Data'!CS22</f>
        <v/>
      </c>
      <c r="BE22" s="35">
        <f>+'실적 Raw Data'!CT22</f>
        <v/>
      </c>
      <c r="BF22" s="35">
        <f>+'실적 Raw Data'!CW22</f>
        <v/>
      </c>
      <c r="BG22" s="35">
        <f>+'실적 Raw Data'!DE22</f>
        <v/>
      </c>
      <c r="BH22" s="35">
        <f>+'실적 Raw Data'!DH22</f>
        <v/>
      </c>
      <c r="BI22" s="35">
        <f>+'실적 Raw Data'!DJ22</f>
        <v/>
      </c>
      <c r="BJ22" s="35">
        <f>+'실적 Raw Data'!DL22</f>
        <v/>
      </c>
      <c r="BK22" s="35">
        <f>SUM(BD22:BJ22)</f>
        <v/>
      </c>
      <c r="BL22" s="35">
        <f>+'실적 Raw Data'!BY22+'실적 Raw Data'!BZ22+'실적 Raw Data'!CA22+'실적 Raw Data'!CB22+'실적 Raw Data'!CC22+'실적 Raw Data'!CD22+'실적 Raw Data'!CE22+'실적 Raw Data'!CF22</f>
        <v/>
      </c>
      <c r="BM22" s="35">
        <f>+'실적 Raw Data'!CH22</f>
        <v/>
      </c>
      <c r="BN22" s="35">
        <f>'실적 Raw Data'!CR22</f>
        <v/>
      </c>
      <c r="BO22" s="35">
        <f>+'실적 Raw Data'!CU22</f>
        <v/>
      </c>
      <c r="BP22" s="35">
        <f>+BQ22-BL22-BM22-BN22-BO22</f>
        <v/>
      </c>
      <c r="BQ22" s="35">
        <f>+BR22-BK22</f>
        <v/>
      </c>
      <c r="BR22" s="35">
        <f>+'실적 Raw Data'!T22</f>
        <v/>
      </c>
      <c r="BS22" s="35">
        <f>BT22-BR22</f>
        <v/>
      </c>
      <c r="BT22" s="35">
        <f>+'실적 Raw Data'!BP22</f>
        <v/>
      </c>
      <c r="BU22" s="35">
        <f>+V22-BA22-BR22</f>
        <v/>
      </c>
      <c r="BV22" s="35">
        <f>+X22-BC22-BT22</f>
        <v/>
      </c>
      <c r="BW22" s="35">
        <f>IF(OR(LEFT(J23,1)="R", LEFT(J23,3)="QZZ"),0, '실적 Raw Data'!M22)</f>
        <v/>
      </c>
      <c r="BX22" s="35">
        <f>'실적 Raw Data'!V22</f>
        <v/>
      </c>
      <c r="BY22" s="27">
        <f>IF(OR(N23="V전지:SET",N23="V전지:set/oe"),BW22*22.9,BW22)</f>
        <v/>
      </c>
    </row>
    <row r="23">
      <c r="A23" s="19">
        <f>RIGHT('실적 Raw Data'!C23,4)&amp;"년"</f>
        <v/>
      </c>
      <c r="B23" s="19">
        <f>TRIM(MID('실적 Raw Data'!C23,9,4))</f>
        <v/>
      </c>
      <c r="C23" s="20">
        <f>IF(LEFT('실적 Raw Data'!A23,5)*1=20313,"차량",IF(LEFT('실적 Raw Data'!A23,5)*1=20314,"차량",IF(LEFT('실적 Raw Data'!A23,5)*1=20342,"산전","산전")))</f>
        <v/>
      </c>
      <c r="D23" s="19">
        <f>IF(LEFT('실적 Raw Data'!A23,5)*1=20342,"모티브",IF(LEFT('실적 Raw Data'!A23,5)*1=20345,"고정형",IF(LEFT('실적 Raw Data'!A23,5)*1=20313,"차량대리점","차량OE")))</f>
        <v/>
      </c>
      <c r="E23" s="21">
        <f>VLOOKUP($D23&amp;$H23,[1]지점코드!$A:$F,4,0)</f>
        <v/>
      </c>
      <c r="F23" s="21">
        <f>VLOOKUP($D23&amp;$H23,[1]지점코드!$A:$F,5,0)</f>
        <v/>
      </c>
      <c r="G23" s="21">
        <f>VLOOKUP($D23&amp;$H23,[1]지점코드!$A:$F,6,0)</f>
        <v/>
      </c>
      <c r="H23" s="19">
        <f>LEFT('실적 Raw Data'!E23,7)</f>
        <v/>
      </c>
      <c r="I23" s="19">
        <f>SUBSTITUTE((SUBSTITUTE('실적 Raw Data'!E23,H23,"")),"    ","")</f>
        <v/>
      </c>
      <c r="J23" s="19">
        <f>TRIM(LEFT('실적 Raw Data'!B23,11))</f>
        <v/>
      </c>
      <c r="K23" s="19">
        <f>TRIM((SUBSTITUTE('실적 Raw Data'!B23,J23,"")))</f>
        <v/>
      </c>
      <c r="L23" s="22">
        <f>IF(D23="모티브",VLOOKUP(C23&amp;J23,[1]제품분류!$A:$J,4,0),IF(D23="고정형",VLOOKUP(C23&amp;J23,[1]제품분류!$A:$J,4,0),IF(D23="차량대리점",VLOOKUP("차량대리점"&amp;J23,[1]제품분류!$A:$J,4,0),IF(D23="차량OE",VLOOKUP("차량OE"&amp;J23,[1]제품분류!$A:$J,4,0)))))</f>
        <v/>
      </c>
      <c r="M23" s="22">
        <f>IF(D23="모티브",VLOOKUP("산전"&amp;J23,[1]제품분류!$A:$J,5,0),IF(D23="고정형",VLOOKUP(C23&amp;J23,[1]제품분류!$A:$J,5,0),IF(D23="차량대리점",VLOOKUP("차량대리점"&amp;J23,[1]제품분류!$A:$J,5,0),IF(D23="차량OE", VLOOKUP(C23&amp;J23,[1]제품분류!$A:$J,5,0)))))</f>
        <v/>
      </c>
      <c r="N23" s="19">
        <f>IF(D23="모티브",VLOOKUP("산전"&amp;J23,[1]제품분류!$A:$J,6,0),IF(D23="고정형",VLOOKUP("산전"&amp;J23,[1]제품분류!$A:$J,6,0),IF(D23="차량대리점",VLOOKUP("차량대리점"&amp;J23,[1]제품분류!$A:$J,6,0))))</f>
        <v/>
      </c>
      <c r="O23" s="19">
        <f>IF(D23="모티브",VLOOKUP("산전"&amp;J23,[1]제품분류!$A:$J,7,0),IF(D23="고정형",VLOOKUP("산전"&amp;J23,[1]제품분류!$A:$J,7,0),IF(D23="차량대리점",VLOOKUP("차량대리점"&amp;J23,[1]제품분류!$A:$J,7,0),IF(D23="차량OE", VLOOKUP(D23&amp;J23,[1]제품분류!$A:$J,7,0)))))</f>
        <v/>
      </c>
      <c r="P23" s="19">
        <f>IF(D23="모티브",VLOOKUP("산전"&amp;J23,[1]제품분류!$A:$J,8,0),IF(D23="고정형",VLOOKUP("산전"&amp;J23,[1]제품분류!$A:$J,8,0),IF(D23="차량대리점",VLOOKUP("차량대리점"&amp;J23,[1]제품분류!$A:$J,8,0),IF(D23="차량OE", VLOOKUP(D23&amp;J23,[1]제품분류!$A:$J,8,0)))))</f>
        <v/>
      </c>
      <c r="Q23" s="34">
        <f>+'실적 Raw Data'!BN23</f>
        <v/>
      </c>
      <c r="R23" s="34">
        <f>+'실적 Raw Data'!BO23</f>
        <v/>
      </c>
      <c r="S23" s="34">
        <f>+T23-Q23-R23</f>
        <v/>
      </c>
      <c r="T23" s="35">
        <f>'실적 Raw Data'!H23</f>
        <v/>
      </c>
      <c r="U23" s="35">
        <f>'실적 Raw Data'!I23</f>
        <v/>
      </c>
      <c r="V23" s="35">
        <f>+'실적 Raw Data'!R23</f>
        <v/>
      </c>
      <c r="W23" s="35">
        <f>'실적 Raw Data'!J23</f>
        <v/>
      </c>
      <c r="X23" s="35">
        <f>'실적 Raw Data'!F23</f>
        <v/>
      </c>
      <c r="Y23" s="35">
        <f>+'실적 Raw Data'!AV23</f>
        <v/>
      </c>
      <c r="Z23" s="35">
        <f>+'실적 Raw Data'!AW23</f>
        <v/>
      </c>
      <c r="AA23" s="35">
        <f>+'실적 Raw Data'!AX23</f>
        <v/>
      </c>
      <c r="AB23" s="35">
        <f>+'실적 Raw Data'!AY23</f>
        <v/>
      </c>
      <c r="AC23" s="35">
        <f>+'실적 Raw Data'!AZ23</f>
        <v/>
      </c>
      <c r="AD23" s="35">
        <f>+Y23+Z23+AA23+AB23+AC23</f>
        <v/>
      </c>
      <c r="AE23" s="35">
        <f>+'실적 Raw Data'!BA23</f>
        <v/>
      </c>
      <c r="AF23" s="35">
        <f>+'실적 Raw Data'!BB23</f>
        <v/>
      </c>
      <c r="AG23" s="35">
        <f>+'실적 Raw Data'!BC23</f>
        <v/>
      </c>
      <c r="AH23" s="35">
        <f>+AE23+AF23+AG23</f>
        <v/>
      </c>
      <c r="AI23" s="35">
        <f>+'실적 Raw Data'!BD23</f>
        <v/>
      </c>
      <c r="AJ23" s="35">
        <f>+'실적 Raw Data'!BE23</f>
        <v/>
      </c>
      <c r="AK23" s="35">
        <f>+'실적 Raw Data'!BF23</f>
        <v/>
      </c>
      <c r="AL23" s="35">
        <f>+'실적 Raw Data'!BG23</f>
        <v/>
      </c>
      <c r="AM23" s="35">
        <f>+AJ23+AK23+AL23</f>
        <v/>
      </c>
      <c r="AN23" s="35">
        <f>+AD23+AH23+AI23+AM23</f>
        <v/>
      </c>
      <c r="AO23" s="35">
        <f>+'실적 Raw Data'!BH23</f>
        <v/>
      </c>
      <c r="AP23" s="36">
        <f>+'실적 Raw Data'!BJ23</f>
        <v/>
      </c>
      <c r="AQ23" s="35">
        <f>+AO23+AP23</f>
        <v/>
      </c>
      <c r="AR23" s="35">
        <f>+'실적 Raw Data'!BK23</f>
        <v/>
      </c>
      <c r="AS23" s="35">
        <f>+AQ23+AR23</f>
        <v/>
      </c>
      <c r="AT23" s="35">
        <f>+'실적 Raw Data'!BI23</f>
        <v/>
      </c>
      <c r="AU23" s="35">
        <f>+'실적 Raw Data'!BL23</f>
        <v/>
      </c>
      <c r="AV23" s="35">
        <f>+'실적 Raw Data'!BM23</f>
        <v/>
      </c>
      <c r="AW23" s="35">
        <f>SUM(AT23:AV23)</f>
        <v/>
      </c>
      <c r="AX23" s="35">
        <f>+AY23-(+AW23+AS23+AN23)+BX23</f>
        <v/>
      </c>
      <c r="AY23" s="35">
        <f>+'실적 Raw Data'!AT23</f>
        <v/>
      </c>
      <c r="AZ23" s="35">
        <f>+'실적 Raw Data'!X23+'실적 Raw Data'!Y23+'실적 Raw Data'!Z23</f>
        <v/>
      </c>
      <c r="BA23" s="35">
        <f>+'실적 Raw Data'!S23</f>
        <v/>
      </c>
      <c r="BB23" s="35">
        <f>'실적 Raw Data'!W23</f>
        <v/>
      </c>
      <c r="BC23" s="35">
        <f>+'실적 Raw Data'!G23</f>
        <v/>
      </c>
      <c r="BD23" s="35">
        <f>+'실적 Raw Data'!CS23</f>
        <v/>
      </c>
      <c r="BE23" s="35">
        <f>+'실적 Raw Data'!CT23</f>
        <v/>
      </c>
      <c r="BF23" s="35">
        <f>+'실적 Raw Data'!CW23</f>
        <v/>
      </c>
      <c r="BG23" s="35">
        <f>+'실적 Raw Data'!DE23</f>
        <v/>
      </c>
      <c r="BH23" s="35">
        <f>+'실적 Raw Data'!DH23</f>
        <v/>
      </c>
      <c r="BI23" s="35">
        <f>+'실적 Raw Data'!DJ23</f>
        <v/>
      </c>
      <c r="BJ23" s="35">
        <f>+'실적 Raw Data'!DL23</f>
        <v/>
      </c>
      <c r="BK23" s="35">
        <f>SUM(BD23:BJ23)</f>
        <v/>
      </c>
      <c r="BL23" s="35">
        <f>+'실적 Raw Data'!BY23+'실적 Raw Data'!BZ23+'실적 Raw Data'!CA23+'실적 Raw Data'!CB23+'실적 Raw Data'!CC23+'실적 Raw Data'!CD23+'실적 Raw Data'!CE23+'실적 Raw Data'!CF23</f>
        <v/>
      </c>
      <c r="BM23" s="35">
        <f>+'실적 Raw Data'!CH23</f>
        <v/>
      </c>
      <c r="BN23" s="35">
        <f>'실적 Raw Data'!CR23</f>
        <v/>
      </c>
      <c r="BO23" s="35">
        <f>+'실적 Raw Data'!CU23</f>
        <v/>
      </c>
      <c r="BP23" s="35">
        <f>+BQ23-BL23-BM23-BN23-BO23</f>
        <v/>
      </c>
      <c r="BQ23" s="35">
        <f>+BR23-BK23</f>
        <v/>
      </c>
      <c r="BR23" s="35">
        <f>+'실적 Raw Data'!T23</f>
        <v/>
      </c>
      <c r="BS23" s="35">
        <f>BT23-BR23</f>
        <v/>
      </c>
      <c r="BT23" s="35">
        <f>+'실적 Raw Data'!BP23</f>
        <v/>
      </c>
      <c r="BU23" s="35">
        <f>+V23-BA23-BR23</f>
        <v/>
      </c>
      <c r="BV23" s="35">
        <f>+X23-BC23-BT23</f>
        <v/>
      </c>
      <c r="BW23" s="35">
        <f>IF(OR(LEFT(J24,1)="R", LEFT(J24,3)="QZZ"),0, '실적 Raw Data'!M23)</f>
        <v/>
      </c>
      <c r="BX23" s="35">
        <f>'실적 Raw Data'!V23</f>
        <v/>
      </c>
      <c r="BY23" s="27">
        <f>IF(OR(N24="V전지:SET",N24="V전지:set/oe"),BW23*22.9,BW23)</f>
        <v/>
      </c>
    </row>
    <row r="24">
      <c r="A24" s="19">
        <f>RIGHT('실적 Raw Data'!C24,4)&amp;"년"</f>
        <v/>
      </c>
      <c r="B24" s="19">
        <f>TRIM(MID('실적 Raw Data'!C24,9,4))</f>
        <v/>
      </c>
      <c r="C24" s="20">
        <f>IF(LEFT('실적 Raw Data'!A24,5)*1=20313,"차량",IF(LEFT('실적 Raw Data'!A24,5)*1=20314,"차량",IF(LEFT('실적 Raw Data'!A24,5)*1=20342,"산전","산전")))</f>
        <v/>
      </c>
      <c r="D24" s="19">
        <f>IF(LEFT('실적 Raw Data'!A24,5)*1=20342,"모티브",IF(LEFT('실적 Raw Data'!A24,5)*1=20345,"고정형",IF(LEFT('실적 Raw Data'!A24,5)*1=20313,"차량대리점","차량OE")))</f>
        <v/>
      </c>
      <c r="E24" s="21">
        <f>VLOOKUP($D24&amp;$H24,[1]지점코드!$A:$F,4,0)</f>
        <v/>
      </c>
      <c r="F24" s="21">
        <f>VLOOKUP($D24&amp;$H24,[1]지점코드!$A:$F,5,0)</f>
        <v/>
      </c>
      <c r="G24" s="21">
        <f>VLOOKUP($D24&amp;$H24,[1]지점코드!$A:$F,6,0)</f>
        <v/>
      </c>
      <c r="H24" s="19">
        <f>LEFT('실적 Raw Data'!E24,7)</f>
        <v/>
      </c>
      <c r="I24" s="19">
        <f>SUBSTITUTE((SUBSTITUTE('실적 Raw Data'!E24,H24,"")),"    ","")</f>
        <v/>
      </c>
      <c r="J24" s="19">
        <f>TRIM(LEFT('실적 Raw Data'!B24,11))</f>
        <v/>
      </c>
      <c r="K24" s="19">
        <f>TRIM((SUBSTITUTE('실적 Raw Data'!B24,J24,"")))</f>
        <v/>
      </c>
      <c r="L24" s="22">
        <f>IF(D24="모티브",VLOOKUP(C24&amp;J24,[1]제품분류!$A:$J,4,0),IF(D24="고정형",VLOOKUP(C24&amp;J24,[1]제품분류!$A:$J,4,0),IF(D24="차량대리점",VLOOKUP("차량대리점"&amp;J24,[1]제품분류!$A:$J,4,0),IF(D24="차량OE",VLOOKUP("차량OE"&amp;J24,[1]제품분류!$A:$J,4,0)))))</f>
        <v/>
      </c>
      <c r="M24" s="22">
        <f>IF(D24="모티브",VLOOKUP("산전"&amp;J24,[1]제품분류!$A:$J,5,0),IF(D24="고정형",VLOOKUP(C24&amp;J24,[1]제품분류!$A:$J,5,0),IF(D24="차량대리점",VLOOKUP("차량대리점"&amp;J24,[1]제품분류!$A:$J,5,0),IF(D24="차량OE", VLOOKUP(C24&amp;J24,[1]제품분류!$A:$J,5,0)))))</f>
        <v/>
      </c>
      <c r="N24" s="19">
        <f>IF(D24="모티브",VLOOKUP("산전"&amp;J24,[1]제품분류!$A:$J,6,0),IF(D24="고정형",VLOOKUP("산전"&amp;J24,[1]제품분류!$A:$J,6,0),IF(D24="차량대리점",VLOOKUP("차량대리점"&amp;J24,[1]제품분류!$A:$J,6,0))))</f>
        <v/>
      </c>
      <c r="O24" s="19">
        <f>IF(D24="모티브",VLOOKUP("산전"&amp;J24,[1]제품분류!$A:$J,7,0),IF(D24="고정형",VLOOKUP("산전"&amp;J24,[1]제품분류!$A:$J,7,0),IF(D24="차량대리점",VLOOKUP("차량대리점"&amp;J24,[1]제품분류!$A:$J,7,0),IF(D24="차량OE", VLOOKUP(D24&amp;J24,[1]제품분류!$A:$J,7,0)))))</f>
        <v/>
      </c>
      <c r="P24" s="19">
        <f>IF(D24="모티브",VLOOKUP("산전"&amp;J24,[1]제품분류!$A:$J,8,0),IF(D24="고정형",VLOOKUP("산전"&amp;J24,[1]제품분류!$A:$J,8,0),IF(D24="차량대리점",VLOOKUP("차량대리점"&amp;J24,[1]제품분류!$A:$J,8,0),IF(D24="차량OE", VLOOKUP(D24&amp;J24,[1]제품분류!$A:$J,8,0)))))</f>
        <v/>
      </c>
      <c r="Q24" s="34">
        <f>+'실적 Raw Data'!BN24</f>
        <v/>
      </c>
      <c r="R24" s="34">
        <f>+'실적 Raw Data'!BO24</f>
        <v/>
      </c>
      <c r="S24" s="34">
        <f>+T24-Q24-R24</f>
        <v/>
      </c>
      <c r="T24" s="35">
        <f>'실적 Raw Data'!H24</f>
        <v/>
      </c>
      <c r="U24" s="35">
        <f>'실적 Raw Data'!I24</f>
        <v/>
      </c>
      <c r="V24" s="35">
        <f>+'실적 Raw Data'!R24</f>
        <v/>
      </c>
      <c r="W24" s="35">
        <f>'실적 Raw Data'!J24</f>
        <v/>
      </c>
      <c r="X24" s="35">
        <f>'실적 Raw Data'!F24</f>
        <v/>
      </c>
      <c r="Y24" s="35">
        <f>+'실적 Raw Data'!AV24</f>
        <v/>
      </c>
      <c r="Z24" s="35">
        <f>+'실적 Raw Data'!AW24</f>
        <v/>
      </c>
      <c r="AA24" s="35">
        <f>+'실적 Raw Data'!AX24</f>
        <v/>
      </c>
      <c r="AB24" s="35">
        <f>+'실적 Raw Data'!AY24</f>
        <v/>
      </c>
      <c r="AC24" s="35">
        <f>+'실적 Raw Data'!AZ24</f>
        <v/>
      </c>
      <c r="AD24" s="35">
        <f>+Y24+Z24+AA24+AB24+AC24</f>
        <v/>
      </c>
      <c r="AE24" s="35">
        <f>+'실적 Raw Data'!BA24</f>
        <v/>
      </c>
      <c r="AF24" s="35">
        <f>+'실적 Raw Data'!BB24</f>
        <v/>
      </c>
      <c r="AG24" s="35">
        <f>+'실적 Raw Data'!BC24</f>
        <v/>
      </c>
      <c r="AH24" s="35">
        <f>+AE24+AF24+AG24</f>
        <v/>
      </c>
      <c r="AI24" s="35">
        <f>+'실적 Raw Data'!BD24</f>
        <v/>
      </c>
      <c r="AJ24" s="35">
        <f>+'실적 Raw Data'!BE24</f>
        <v/>
      </c>
      <c r="AK24" s="35">
        <f>+'실적 Raw Data'!BF24</f>
        <v/>
      </c>
      <c r="AL24" s="35">
        <f>+'실적 Raw Data'!BG24</f>
        <v/>
      </c>
      <c r="AM24" s="35">
        <f>+AJ24+AK24+AL24</f>
        <v/>
      </c>
      <c r="AN24" s="35">
        <f>+AD24+AH24+AI24+AM24</f>
        <v/>
      </c>
      <c r="AO24" s="35">
        <f>+'실적 Raw Data'!BH24</f>
        <v/>
      </c>
      <c r="AP24" s="36">
        <f>+'실적 Raw Data'!BJ24</f>
        <v/>
      </c>
      <c r="AQ24" s="35">
        <f>+AO24+AP24</f>
        <v/>
      </c>
      <c r="AR24" s="35">
        <f>+'실적 Raw Data'!BK24</f>
        <v/>
      </c>
      <c r="AS24" s="35">
        <f>+AQ24+AR24</f>
        <v/>
      </c>
      <c r="AT24" s="35">
        <f>+'실적 Raw Data'!BI24</f>
        <v/>
      </c>
      <c r="AU24" s="35">
        <f>+'실적 Raw Data'!BL24</f>
        <v/>
      </c>
      <c r="AV24" s="35">
        <f>+'실적 Raw Data'!BM24</f>
        <v/>
      </c>
      <c r="AW24" s="35">
        <f>SUM(AT24:AV24)</f>
        <v/>
      </c>
      <c r="AX24" s="35">
        <f>+AY24-(+AW24+AS24+AN24)+BX24</f>
        <v/>
      </c>
      <c r="AY24" s="35">
        <f>+'실적 Raw Data'!AT24</f>
        <v/>
      </c>
      <c r="AZ24" s="35">
        <f>+'실적 Raw Data'!X24+'실적 Raw Data'!Y24+'실적 Raw Data'!Z24</f>
        <v/>
      </c>
      <c r="BA24" s="35">
        <f>+'실적 Raw Data'!S24</f>
        <v/>
      </c>
      <c r="BB24" s="35">
        <f>'실적 Raw Data'!W24</f>
        <v/>
      </c>
      <c r="BC24" s="35">
        <f>+'실적 Raw Data'!G24</f>
        <v/>
      </c>
      <c r="BD24" s="35">
        <f>+'실적 Raw Data'!CS24</f>
        <v/>
      </c>
      <c r="BE24" s="35">
        <f>+'실적 Raw Data'!CT24</f>
        <v/>
      </c>
      <c r="BF24" s="35">
        <f>+'실적 Raw Data'!CW24</f>
        <v/>
      </c>
      <c r="BG24" s="35">
        <f>+'실적 Raw Data'!DE24</f>
        <v/>
      </c>
      <c r="BH24" s="35">
        <f>+'실적 Raw Data'!DH24</f>
        <v/>
      </c>
      <c r="BI24" s="35">
        <f>+'실적 Raw Data'!DJ24</f>
        <v/>
      </c>
      <c r="BJ24" s="35">
        <f>+'실적 Raw Data'!DL24</f>
        <v/>
      </c>
      <c r="BK24" s="35">
        <f>SUM(BD24:BJ24)</f>
        <v/>
      </c>
      <c r="BL24" s="35">
        <f>+'실적 Raw Data'!BY24+'실적 Raw Data'!BZ24+'실적 Raw Data'!CA24+'실적 Raw Data'!CB24+'실적 Raw Data'!CC24+'실적 Raw Data'!CD24+'실적 Raw Data'!CE24+'실적 Raw Data'!CF24</f>
        <v/>
      </c>
      <c r="BM24" s="35">
        <f>+'실적 Raw Data'!CH24</f>
        <v/>
      </c>
      <c r="BN24" s="35">
        <f>'실적 Raw Data'!CR24</f>
        <v/>
      </c>
      <c r="BO24" s="35">
        <f>+'실적 Raw Data'!CU24</f>
        <v/>
      </c>
      <c r="BP24" s="35">
        <f>+BQ24-BL24-BM24-BN24-BO24</f>
        <v/>
      </c>
      <c r="BQ24" s="35">
        <f>+BR24-BK24</f>
        <v/>
      </c>
      <c r="BR24" s="35">
        <f>+'실적 Raw Data'!T24</f>
        <v/>
      </c>
      <c r="BS24" s="35">
        <f>BT24-BR24</f>
        <v/>
      </c>
      <c r="BT24" s="35">
        <f>+'실적 Raw Data'!BP24</f>
        <v/>
      </c>
      <c r="BU24" s="35">
        <f>+V24-BA24-BR24</f>
        <v/>
      </c>
      <c r="BV24" s="35">
        <f>+X24-BC24-BT24</f>
        <v/>
      </c>
      <c r="BW24" s="35">
        <f>IF(OR(LEFT(J25,1)="R", LEFT(J25,3)="QZZ"),0, '실적 Raw Data'!M24)</f>
        <v/>
      </c>
      <c r="BX24" s="35">
        <f>'실적 Raw Data'!V24</f>
        <v/>
      </c>
      <c r="BY24" s="27">
        <f>IF(OR(N25="V전지:SET",N25="V전지:set/oe"),BW24*22.9,BW24)</f>
        <v/>
      </c>
    </row>
    <row r="25">
      <c r="A25" s="19">
        <f>RIGHT('실적 Raw Data'!C25,4)&amp;"년"</f>
        <v/>
      </c>
      <c r="B25" s="19">
        <f>TRIM(MID('실적 Raw Data'!C25,9,4))</f>
        <v/>
      </c>
      <c r="C25" s="20">
        <f>IF(LEFT('실적 Raw Data'!A25,5)*1=20313,"차량",IF(LEFT('실적 Raw Data'!A25,5)*1=20314,"차량",IF(LEFT('실적 Raw Data'!A25,5)*1=20342,"산전","산전")))</f>
        <v/>
      </c>
      <c r="D25" s="19">
        <f>IF(LEFT('실적 Raw Data'!A25,5)*1=20342,"모티브",IF(LEFT('실적 Raw Data'!A25,5)*1=20345,"고정형",IF(LEFT('실적 Raw Data'!A25,5)*1=20313,"차량대리점","차량OE")))</f>
        <v/>
      </c>
      <c r="E25" s="21">
        <f>VLOOKUP($D25&amp;$H25,[1]지점코드!$A:$F,4,0)</f>
        <v/>
      </c>
      <c r="F25" s="21">
        <f>VLOOKUP($D25&amp;$H25,[1]지점코드!$A:$F,5,0)</f>
        <v/>
      </c>
      <c r="G25" s="21">
        <f>VLOOKUP($D25&amp;$H25,[1]지점코드!$A:$F,6,0)</f>
        <v/>
      </c>
      <c r="H25" s="19">
        <f>LEFT('실적 Raw Data'!E25,7)</f>
        <v/>
      </c>
      <c r="I25" s="19">
        <f>SUBSTITUTE((SUBSTITUTE('실적 Raw Data'!E25,H25,"")),"    ","")</f>
        <v/>
      </c>
      <c r="J25" s="19">
        <f>TRIM(LEFT('실적 Raw Data'!B25,11))</f>
        <v/>
      </c>
      <c r="K25" s="19">
        <f>TRIM((SUBSTITUTE('실적 Raw Data'!B25,J25,"")))</f>
        <v/>
      </c>
      <c r="L25" s="22">
        <f>IF(D25="모티브",VLOOKUP(C25&amp;J25,[1]제품분류!$A:$J,4,0),IF(D25="고정형",VLOOKUP(C25&amp;J25,[1]제품분류!$A:$J,4,0),IF(D25="차량대리점",VLOOKUP("차량대리점"&amp;J25,[1]제품분류!$A:$J,4,0),IF(D25="차량OE",VLOOKUP("차량OE"&amp;J25,[1]제품분류!$A:$J,4,0)))))</f>
        <v/>
      </c>
      <c r="M25" s="22">
        <f>IF(D25="모티브",VLOOKUP("산전"&amp;J25,[1]제품분류!$A:$J,5,0),IF(D25="고정형",VLOOKUP(C25&amp;J25,[1]제품분류!$A:$J,5,0),IF(D25="차량대리점",VLOOKUP("차량대리점"&amp;J25,[1]제품분류!$A:$J,5,0),IF(D25="차량OE", VLOOKUP(C25&amp;J25,[1]제품분류!$A:$J,5,0)))))</f>
        <v/>
      </c>
      <c r="N25" s="19">
        <f>IF(D25="모티브",VLOOKUP("산전"&amp;J25,[1]제품분류!$A:$J,6,0),IF(D25="고정형",VLOOKUP("산전"&amp;J25,[1]제품분류!$A:$J,6,0),IF(D25="차량대리점",VLOOKUP("차량대리점"&amp;J25,[1]제품분류!$A:$J,6,0))))</f>
        <v/>
      </c>
      <c r="O25" s="19">
        <f>IF(D25="모티브",VLOOKUP("산전"&amp;J25,[1]제품분류!$A:$J,7,0),IF(D25="고정형",VLOOKUP("산전"&amp;J25,[1]제품분류!$A:$J,7,0),IF(D25="차량대리점",VLOOKUP("차량대리점"&amp;J25,[1]제품분류!$A:$J,7,0),IF(D25="차량OE", VLOOKUP(D25&amp;J25,[1]제품분류!$A:$J,7,0)))))</f>
        <v/>
      </c>
      <c r="P25" s="19">
        <f>IF(D25="모티브",VLOOKUP("산전"&amp;J25,[1]제품분류!$A:$J,8,0),IF(D25="고정형",VLOOKUP("산전"&amp;J25,[1]제품분류!$A:$J,8,0),IF(D25="차량대리점",VLOOKUP("차량대리점"&amp;J25,[1]제품분류!$A:$J,8,0),IF(D25="차량OE", VLOOKUP(D25&amp;J25,[1]제품분류!$A:$J,8,0)))))</f>
        <v/>
      </c>
      <c r="Q25" s="34">
        <f>+'실적 Raw Data'!BN25</f>
        <v/>
      </c>
      <c r="R25" s="34">
        <f>+'실적 Raw Data'!BO25</f>
        <v/>
      </c>
      <c r="S25" s="34">
        <f>+T25-Q25-R25</f>
        <v/>
      </c>
      <c r="T25" s="35">
        <f>'실적 Raw Data'!H25</f>
        <v/>
      </c>
      <c r="U25" s="35">
        <f>'실적 Raw Data'!I25</f>
        <v/>
      </c>
      <c r="V25" s="35">
        <f>+'실적 Raw Data'!R25</f>
        <v/>
      </c>
      <c r="W25" s="35">
        <f>'실적 Raw Data'!J25</f>
        <v/>
      </c>
      <c r="X25" s="35">
        <f>'실적 Raw Data'!F25</f>
        <v/>
      </c>
      <c r="Y25" s="35">
        <f>+'실적 Raw Data'!AV25</f>
        <v/>
      </c>
      <c r="Z25" s="35">
        <f>+'실적 Raw Data'!AW25</f>
        <v/>
      </c>
      <c r="AA25" s="35">
        <f>+'실적 Raw Data'!AX25</f>
        <v/>
      </c>
      <c r="AB25" s="35">
        <f>+'실적 Raw Data'!AY25</f>
        <v/>
      </c>
      <c r="AC25" s="35">
        <f>+'실적 Raw Data'!AZ25</f>
        <v/>
      </c>
      <c r="AD25" s="35">
        <f>+Y25+Z25+AA25+AB25+AC25</f>
        <v/>
      </c>
      <c r="AE25" s="35">
        <f>+'실적 Raw Data'!BA25</f>
        <v/>
      </c>
      <c r="AF25" s="35">
        <f>+'실적 Raw Data'!BB25</f>
        <v/>
      </c>
      <c r="AG25" s="35">
        <f>+'실적 Raw Data'!BC25</f>
        <v/>
      </c>
      <c r="AH25" s="35">
        <f>+AE25+AF25+AG25</f>
        <v/>
      </c>
      <c r="AI25" s="35">
        <f>+'실적 Raw Data'!BD25</f>
        <v/>
      </c>
      <c r="AJ25" s="35">
        <f>+'실적 Raw Data'!BE25</f>
        <v/>
      </c>
      <c r="AK25" s="35">
        <f>+'실적 Raw Data'!BF25</f>
        <v/>
      </c>
      <c r="AL25" s="35">
        <f>+'실적 Raw Data'!BG25</f>
        <v/>
      </c>
      <c r="AM25" s="35">
        <f>+AJ25+AK25+AL25</f>
        <v/>
      </c>
      <c r="AN25" s="35">
        <f>+AD25+AH25+AI25+AM25</f>
        <v/>
      </c>
      <c r="AO25" s="35">
        <f>+'실적 Raw Data'!BH25</f>
        <v/>
      </c>
      <c r="AP25" s="36">
        <f>+'실적 Raw Data'!BJ25</f>
        <v/>
      </c>
      <c r="AQ25" s="35">
        <f>+AO25+AP25</f>
        <v/>
      </c>
      <c r="AR25" s="35">
        <f>+'실적 Raw Data'!BK25</f>
        <v/>
      </c>
      <c r="AS25" s="35">
        <f>+AQ25+AR25</f>
        <v/>
      </c>
      <c r="AT25" s="35">
        <f>+'실적 Raw Data'!BI25</f>
        <v/>
      </c>
      <c r="AU25" s="35">
        <f>+'실적 Raw Data'!BL25</f>
        <v/>
      </c>
      <c r="AV25" s="35">
        <f>+'실적 Raw Data'!BM25</f>
        <v/>
      </c>
      <c r="AW25" s="35">
        <f>SUM(AT25:AV25)</f>
        <v/>
      </c>
      <c r="AX25" s="35">
        <f>+AY25-(+AW25+AS25+AN25)+BX25</f>
        <v/>
      </c>
      <c r="AY25" s="35">
        <f>+'실적 Raw Data'!AT25</f>
        <v/>
      </c>
      <c r="AZ25" s="35">
        <f>+'실적 Raw Data'!X25+'실적 Raw Data'!Y25+'실적 Raw Data'!Z25</f>
        <v/>
      </c>
      <c r="BA25" s="35">
        <f>+'실적 Raw Data'!S25</f>
        <v/>
      </c>
      <c r="BB25" s="35">
        <f>'실적 Raw Data'!W25</f>
        <v/>
      </c>
      <c r="BC25" s="35">
        <f>+'실적 Raw Data'!G25</f>
        <v/>
      </c>
      <c r="BD25" s="35">
        <f>+'실적 Raw Data'!CS25</f>
        <v/>
      </c>
      <c r="BE25" s="35">
        <f>+'실적 Raw Data'!CT25</f>
        <v/>
      </c>
      <c r="BF25" s="35">
        <f>+'실적 Raw Data'!CW25</f>
        <v/>
      </c>
      <c r="BG25" s="35">
        <f>+'실적 Raw Data'!DE25</f>
        <v/>
      </c>
      <c r="BH25" s="35">
        <f>+'실적 Raw Data'!DH25</f>
        <v/>
      </c>
      <c r="BI25" s="35">
        <f>+'실적 Raw Data'!DJ25</f>
        <v/>
      </c>
      <c r="BJ25" s="35">
        <f>+'실적 Raw Data'!DL25</f>
        <v/>
      </c>
      <c r="BK25" s="35">
        <f>SUM(BD25:BJ25)</f>
        <v/>
      </c>
      <c r="BL25" s="35">
        <f>+'실적 Raw Data'!BY25+'실적 Raw Data'!BZ25+'실적 Raw Data'!CA25+'실적 Raw Data'!CB25+'실적 Raw Data'!CC25+'실적 Raw Data'!CD25+'실적 Raw Data'!CE25+'실적 Raw Data'!CF25</f>
        <v/>
      </c>
      <c r="BM25" s="35">
        <f>+'실적 Raw Data'!CH25</f>
        <v/>
      </c>
      <c r="BN25" s="35">
        <f>'실적 Raw Data'!CR25</f>
        <v/>
      </c>
      <c r="BO25" s="35">
        <f>+'실적 Raw Data'!CU25</f>
        <v/>
      </c>
      <c r="BP25" s="35">
        <f>+BQ25-BL25-BM25-BN25-BO25</f>
        <v/>
      </c>
      <c r="BQ25" s="35">
        <f>+BR25-BK25</f>
        <v/>
      </c>
      <c r="BR25" s="35">
        <f>+'실적 Raw Data'!T25</f>
        <v/>
      </c>
      <c r="BS25" s="35">
        <f>BT25-BR25</f>
        <v/>
      </c>
      <c r="BT25" s="35">
        <f>+'실적 Raw Data'!BP25</f>
        <v/>
      </c>
      <c r="BU25" s="35">
        <f>+V25-BA25-BR25</f>
        <v/>
      </c>
      <c r="BV25" s="35">
        <f>+X25-BC25-BT25</f>
        <v/>
      </c>
      <c r="BW25" s="35">
        <f>IF(OR(LEFT(J26,1)="R", LEFT(J26,3)="QZZ"),0, '실적 Raw Data'!M25)</f>
        <v/>
      </c>
      <c r="BX25" s="35">
        <f>'실적 Raw Data'!V25</f>
        <v/>
      </c>
      <c r="BY25" s="27">
        <f>IF(OR(N26="V전지:SET",N26="V전지:set/oe"),BW25*22.9,BW25)</f>
        <v/>
      </c>
    </row>
    <row r="26">
      <c r="A26" s="19">
        <f>RIGHT('실적 Raw Data'!C26,4)&amp;"년"</f>
        <v/>
      </c>
      <c r="B26" s="19">
        <f>TRIM(MID('실적 Raw Data'!C26,9,4))</f>
        <v/>
      </c>
      <c r="C26" s="20">
        <f>IF(LEFT('실적 Raw Data'!A26,5)*1=20313,"차량",IF(LEFT('실적 Raw Data'!A26,5)*1=20314,"차량",IF(LEFT('실적 Raw Data'!A26,5)*1=20342,"산전","산전")))</f>
        <v/>
      </c>
      <c r="D26" s="19">
        <f>IF(LEFT('실적 Raw Data'!A26,5)*1=20342,"모티브",IF(LEFT('실적 Raw Data'!A26,5)*1=20345,"고정형",IF(LEFT('실적 Raw Data'!A26,5)*1=20313,"차량대리점","차량OE")))</f>
        <v/>
      </c>
      <c r="E26" s="21">
        <f>VLOOKUP($D26&amp;$H26,[1]지점코드!$A:$F,4,0)</f>
        <v/>
      </c>
      <c r="F26" s="21">
        <f>VLOOKUP($D26&amp;$H26,[1]지점코드!$A:$F,5,0)</f>
        <v/>
      </c>
      <c r="G26" s="21">
        <f>VLOOKUP($D26&amp;$H26,[1]지점코드!$A:$F,6,0)</f>
        <v/>
      </c>
      <c r="H26" s="19">
        <f>LEFT('실적 Raw Data'!E26,7)</f>
        <v/>
      </c>
      <c r="I26" s="19">
        <f>SUBSTITUTE((SUBSTITUTE('실적 Raw Data'!E26,H26,"")),"    ","")</f>
        <v/>
      </c>
      <c r="J26" s="19">
        <f>TRIM(LEFT('실적 Raw Data'!B26,11))</f>
        <v/>
      </c>
      <c r="K26" s="19">
        <f>TRIM((SUBSTITUTE('실적 Raw Data'!B26,J26,"")))</f>
        <v/>
      </c>
      <c r="L26" s="22">
        <f>IF(D26="모티브",VLOOKUP(C26&amp;J26,[1]제품분류!$A:$J,4,0),IF(D26="고정형",VLOOKUP(C26&amp;J26,[1]제품분류!$A:$J,4,0),IF(D26="차량대리점",VLOOKUP("차량대리점"&amp;J26,[1]제품분류!$A:$J,4,0),IF(D26="차량OE",VLOOKUP("차량OE"&amp;J26,[1]제품분류!$A:$J,4,0)))))</f>
        <v/>
      </c>
      <c r="M26" s="22">
        <f>IF(D26="모티브",VLOOKUP("산전"&amp;J26,[1]제품분류!$A:$J,5,0),IF(D26="고정형",VLOOKUP(C26&amp;J26,[1]제품분류!$A:$J,5,0),IF(D26="차량대리점",VLOOKUP("차량대리점"&amp;J26,[1]제품분류!$A:$J,5,0),IF(D26="차량OE", VLOOKUP(C26&amp;J26,[1]제품분류!$A:$J,5,0)))))</f>
        <v/>
      </c>
      <c r="N26" s="19">
        <f>IF(D26="모티브",VLOOKUP("산전"&amp;J26,[1]제품분류!$A:$J,6,0),IF(D26="고정형",VLOOKUP("산전"&amp;J26,[1]제품분류!$A:$J,6,0),IF(D26="차량대리점",VLOOKUP("차량대리점"&amp;J26,[1]제품분류!$A:$J,6,0))))</f>
        <v/>
      </c>
      <c r="O26" s="19">
        <f>IF(D26="모티브",VLOOKUP("산전"&amp;J26,[1]제품분류!$A:$J,7,0),IF(D26="고정형",VLOOKUP("산전"&amp;J26,[1]제품분류!$A:$J,7,0),IF(D26="차량대리점",VLOOKUP("차량대리점"&amp;J26,[1]제품분류!$A:$J,7,0),IF(D26="차량OE", VLOOKUP(D26&amp;J26,[1]제품분류!$A:$J,7,0)))))</f>
        <v/>
      </c>
      <c r="P26" s="19">
        <f>IF(D26="모티브",VLOOKUP("산전"&amp;J26,[1]제품분류!$A:$J,8,0),IF(D26="고정형",VLOOKUP("산전"&amp;J26,[1]제품분류!$A:$J,8,0),IF(D26="차량대리점",VLOOKUP("차량대리점"&amp;J26,[1]제품분류!$A:$J,8,0),IF(D26="차량OE", VLOOKUP(D26&amp;J26,[1]제품분류!$A:$J,8,0)))))</f>
        <v/>
      </c>
      <c r="Q26" s="34">
        <f>+'실적 Raw Data'!BN26</f>
        <v/>
      </c>
      <c r="R26" s="34">
        <f>+'실적 Raw Data'!BO26</f>
        <v/>
      </c>
      <c r="S26" s="34">
        <f>+T26-Q26-R26</f>
        <v/>
      </c>
      <c r="T26" s="35">
        <f>'실적 Raw Data'!H26</f>
        <v/>
      </c>
      <c r="U26" s="35">
        <f>'실적 Raw Data'!I26</f>
        <v/>
      </c>
      <c r="V26" s="35">
        <f>+'실적 Raw Data'!R26</f>
        <v/>
      </c>
      <c r="W26" s="35">
        <f>'실적 Raw Data'!J26</f>
        <v/>
      </c>
      <c r="X26" s="35">
        <f>'실적 Raw Data'!F26</f>
        <v/>
      </c>
      <c r="Y26" s="35">
        <f>+'실적 Raw Data'!AV26</f>
        <v/>
      </c>
      <c r="Z26" s="35">
        <f>+'실적 Raw Data'!AW26</f>
        <v/>
      </c>
      <c r="AA26" s="35">
        <f>+'실적 Raw Data'!AX26</f>
        <v/>
      </c>
      <c r="AB26" s="35">
        <f>+'실적 Raw Data'!AY26</f>
        <v/>
      </c>
      <c r="AC26" s="35">
        <f>+'실적 Raw Data'!AZ26</f>
        <v/>
      </c>
      <c r="AD26" s="35">
        <f>+Y26+Z26+AA26+AB26+AC26</f>
        <v/>
      </c>
      <c r="AE26" s="35">
        <f>+'실적 Raw Data'!BA26</f>
        <v/>
      </c>
      <c r="AF26" s="35">
        <f>+'실적 Raw Data'!BB26</f>
        <v/>
      </c>
      <c r="AG26" s="35">
        <f>+'실적 Raw Data'!BC26</f>
        <v/>
      </c>
      <c r="AH26" s="35">
        <f>+AE26+AF26+AG26</f>
        <v/>
      </c>
      <c r="AI26" s="35">
        <f>+'실적 Raw Data'!BD26</f>
        <v/>
      </c>
      <c r="AJ26" s="35">
        <f>+'실적 Raw Data'!BE26</f>
        <v/>
      </c>
      <c r="AK26" s="35">
        <f>+'실적 Raw Data'!BF26</f>
        <v/>
      </c>
      <c r="AL26" s="35">
        <f>+'실적 Raw Data'!BG26</f>
        <v/>
      </c>
      <c r="AM26" s="35">
        <f>+AJ26+AK26+AL26</f>
        <v/>
      </c>
      <c r="AN26" s="35">
        <f>+AD26+AH26+AI26+AM26</f>
        <v/>
      </c>
      <c r="AO26" s="35">
        <f>+'실적 Raw Data'!BH26</f>
        <v/>
      </c>
      <c r="AP26" s="36">
        <f>+'실적 Raw Data'!BJ26</f>
        <v/>
      </c>
      <c r="AQ26" s="35">
        <f>+AO26+AP26</f>
        <v/>
      </c>
      <c r="AR26" s="35">
        <f>+'실적 Raw Data'!BK26</f>
        <v/>
      </c>
      <c r="AS26" s="35">
        <f>+AQ26+AR26</f>
        <v/>
      </c>
      <c r="AT26" s="35">
        <f>+'실적 Raw Data'!BI26</f>
        <v/>
      </c>
      <c r="AU26" s="35">
        <f>+'실적 Raw Data'!BL26</f>
        <v/>
      </c>
      <c r="AV26" s="35">
        <f>+'실적 Raw Data'!BM26</f>
        <v/>
      </c>
      <c r="AW26" s="35">
        <f>SUM(AT26:AV26)</f>
        <v/>
      </c>
      <c r="AX26" s="35">
        <f>+AY26-(+AW26+AS26+AN26)+BX26</f>
        <v/>
      </c>
      <c r="AY26" s="35">
        <f>+'실적 Raw Data'!AT26</f>
        <v/>
      </c>
      <c r="AZ26" s="35">
        <f>+'실적 Raw Data'!X26+'실적 Raw Data'!Y26+'실적 Raw Data'!Z26</f>
        <v/>
      </c>
      <c r="BA26" s="35">
        <f>+'실적 Raw Data'!S26</f>
        <v/>
      </c>
      <c r="BB26" s="35">
        <f>'실적 Raw Data'!W26</f>
        <v/>
      </c>
      <c r="BC26" s="35">
        <f>+'실적 Raw Data'!G26</f>
        <v/>
      </c>
      <c r="BD26" s="35">
        <f>+'실적 Raw Data'!CS26</f>
        <v/>
      </c>
      <c r="BE26" s="35">
        <f>+'실적 Raw Data'!CT26</f>
        <v/>
      </c>
      <c r="BF26" s="35">
        <f>+'실적 Raw Data'!CW26</f>
        <v/>
      </c>
      <c r="BG26" s="35">
        <f>+'실적 Raw Data'!DE26</f>
        <v/>
      </c>
      <c r="BH26" s="35">
        <f>+'실적 Raw Data'!DH26</f>
        <v/>
      </c>
      <c r="BI26" s="35">
        <f>+'실적 Raw Data'!DJ26</f>
        <v/>
      </c>
      <c r="BJ26" s="35">
        <f>+'실적 Raw Data'!DL26</f>
        <v/>
      </c>
      <c r="BK26" s="35">
        <f>SUM(BD26:BJ26)</f>
        <v/>
      </c>
      <c r="BL26" s="35">
        <f>+'실적 Raw Data'!BY26+'실적 Raw Data'!BZ26+'실적 Raw Data'!CA26+'실적 Raw Data'!CB26+'실적 Raw Data'!CC26+'실적 Raw Data'!CD26+'실적 Raw Data'!CE26+'실적 Raw Data'!CF26</f>
        <v/>
      </c>
      <c r="BM26" s="35">
        <f>+'실적 Raw Data'!CH26</f>
        <v/>
      </c>
      <c r="BN26" s="35">
        <f>'실적 Raw Data'!CR26</f>
        <v/>
      </c>
      <c r="BO26" s="35">
        <f>+'실적 Raw Data'!CU26</f>
        <v/>
      </c>
      <c r="BP26" s="35">
        <f>+BQ26-BL26-BM26-BN26-BO26</f>
        <v/>
      </c>
      <c r="BQ26" s="35">
        <f>+BR26-BK26</f>
        <v/>
      </c>
      <c r="BR26" s="35">
        <f>+'실적 Raw Data'!T26</f>
        <v/>
      </c>
      <c r="BS26" s="35">
        <f>BT26-BR26</f>
        <v/>
      </c>
      <c r="BT26" s="35">
        <f>+'실적 Raw Data'!BP26</f>
        <v/>
      </c>
      <c r="BU26" s="35">
        <f>+V26-BA26-BR26</f>
        <v/>
      </c>
      <c r="BV26" s="35">
        <f>+X26-BC26-BT26</f>
        <v/>
      </c>
      <c r="BW26" s="35">
        <f>IF(OR(LEFT(J27,1)="R", LEFT(J27,3)="QZZ"),0, '실적 Raw Data'!M26)</f>
        <v/>
      </c>
      <c r="BX26" s="35">
        <f>'실적 Raw Data'!V26</f>
        <v/>
      </c>
      <c r="BY26" s="27">
        <f>IF(OR(N27="V전지:SET",N27="V전지:set/oe"),BW26*22.9,BW26)</f>
        <v/>
      </c>
    </row>
    <row r="27">
      <c r="A27" s="19">
        <f>RIGHT('실적 Raw Data'!C27,4)&amp;"년"</f>
        <v/>
      </c>
      <c r="B27" s="19">
        <f>TRIM(MID('실적 Raw Data'!C27,9,4))</f>
        <v/>
      </c>
      <c r="C27" s="20">
        <f>IF(LEFT('실적 Raw Data'!A27,5)*1=20313,"차량",IF(LEFT('실적 Raw Data'!A27,5)*1=20314,"차량",IF(LEFT('실적 Raw Data'!A27,5)*1=20342,"산전","산전")))</f>
        <v/>
      </c>
      <c r="D27" s="19">
        <f>IF(LEFT('실적 Raw Data'!A27,5)*1=20342,"모티브",IF(LEFT('실적 Raw Data'!A27,5)*1=20345,"고정형",IF(LEFT('실적 Raw Data'!A27,5)*1=20313,"차량대리점","차량OE")))</f>
        <v/>
      </c>
      <c r="E27" s="21">
        <f>VLOOKUP($D27&amp;$H27,[1]지점코드!$A:$F,4,0)</f>
        <v/>
      </c>
      <c r="F27" s="21">
        <f>VLOOKUP($D27&amp;$H27,[1]지점코드!$A:$F,5,0)</f>
        <v/>
      </c>
      <c r="G27" s="21">
        <f>VLOOKUP($D27&amp;$H27,[1]지점코드!$A:$F,6,0)</f>
        <v/>
      </c>
      <c r="H27" s="19">
        <f>LEFT('실적 Raw Data'!E27,7)</f>
        <v/>
      </c>
      <c r="I27" s="19">
        <f>SUBSTITUTE((SUBSTITUTE('실적 Raw Data'!E27,H27,"")),"    ","")</f>
        <v/>
      </c>
      <c r="J27" s="19">
        <f>TRIM(LEFT('실적 Raw Data'!B27,11))</f>
        <v/>
      </c>
      <c r="K27" s="19">
        <f>TRIM((SUBSTITUTE('실적 Raw Data'!B27,J27,"")))</f>
        <v/>
      </c>
      <c r="L27" s="22">
        <f>IF(D27="모티브",VLOOKUP(C27&amp;J27,[1]제품분류!$A:$J,4,0),IF(D27="고정형",VLOOKUP(C27&amp;J27,[1]제품분류!$A:$J,4,0),IF(D27="차량대리점",VLOOKUP("차량대리점"&amp;J27,[1]제품분류!$A:$J,4,0),IF(D27="차량OE",VLOOKUP("차량OE"&amp;J27,[1]제품분류!$A:$J,4,0)))))</f>
        <v/>
      </c>
      <c r="M27" s="22">
        <f>IF(D27="모티브",VLOOKUP("산전"&amp;J27,[1]제품분류!$A:$J,5,0),IF(D27="고정형",VLOOKUP(C27&amp;J27,[1]제품분류!$A:$J,5,0),IF(D27="차량대리점",VLOOKUP("차량대리점"&amp;J27,[1]제품분류!$A:$J,5,0),IF(D27="차량OE", VLOOKUP(C27&amp;J27,[1]제품분류!$A:$J,5,0)))))</f>
        <v/>
      </c>
      <c r="N27" s="19">
        <f>IF(D27="모티브",VLOOKUP("산전"&amp;J27,[1]제품분류!$A:$J,6,0),IF(D27="고정형",VLOOKUP("산전"&amp;J27,[1]제품분류!$A:$J,6,0),IF(D27="차량대리점",VLOOKUP("차량대리점"&amp;J27,[1]제품분류!$A:$J,6,0))))</f>
        <v/>
      </c>
      <c r="O27" s="19">
        <f>IF(D27="모티브",VLOOKUP("산전"&amp;J27,[1]제품분류!$A:$J,7,0),IF(D27="고정형",VLOOKUP("산전"&amp;J27,[1]제품분류!$A:$J,7,0),IF(D27="차량대리점",VLOOKUP("차량대리점"&amp;J27,[1]제품분류!$A:$J,7,0),IF(D27="차량OE", VLOOKUP(D27&amp;J27,[1]제품분류!$A:$J,7,0)))))</f>
        <v/>
      </c>
      <c r="P27" s="19">
        <f>IF(D27="모티브",VLOOKUP("산전"&amp;J27,[1]제품분류!$A:$J,8,0),IF(D27="고정형",VLOOKUP("산전"&amp;J27,[1]제품분류!$A:$J,8,0),IF(D27="차량대리점",VLOOKUP("차량대리점"&amp;J27,[1]제품분류!$A:$J,8,0),IF(D27="차량OE", VLOOKUP(D27&amp;J27,[1]제품분류!$A:$J,8,0)))))</f>
        <v/>
      </c>
      <c r="Q27" s="34">
        <f>+'실적 Raw Data'!BN27</f>
        <v/>
      </c>
      <c r="R27" s="34">
        <f>+'실적 Raw Data'!BO27</f>
        <v/>
      </c>
      <c r="S27" s="34">
        <f>+T27-Q27-R27</f>
        <v/>
      </c>
      <c r="T27" s="35">
        <f>'실적 Raw Data'!H27</f>
        <v/>
      </c>
      <c r="U27" s="35">
        <f>'실적 Raw Data'!I27</f>
        <v/>
      </c>
      <c r="V27" s="35">
        <f>+'실적 Raw Data'!R27</f>
        <v/>
      </c>
      <c r="W27" s="35">
        <f>'실적 Raw Data'!J27</f>
        <v/>
      </c>
      <c r="X27" s="35">
        <f>'실적 Raw Data'!F27</f>
        <v/>
      </c>
      <c r="Y27" s="35">
        <f>+'실적 Raw Data'!AV27</f>
        <v/>
      </c>
      <c r="Z27" s="35">
        <f>+'실적 Raw Data'!AW27</f>
        <v/>
      </c>
      <c r="AA27" s="35">
        <f>+'실적 Raw Data'!AX27</f>
        <v/>
      </c>
      <c r="AB27" s="35">
        <f>+'실적 Raw Data'!AY27</f>
        <v/>
      </c>
      <c r="AC27" s="35">
        <f>+'실적 Raw Data'!AZ27</f>
        <v/>
      </c>
      <c r="AD27" s="35">
        <f>+Y27+Z27+AA27+AB27+AC27</f>
        <v/>
      </c>
      <c r="AE27" s="35">
        <f>+'실적 Raw Data'!BA27</f>
        <v/>
      </c>
      <c r="AF27" s="35">
        <f>+'실적 Raw Data'!BB27</f>
        <v/>
      </c>
      <c r="AG27" s="35">
        <f>+'실적 Raw Data'!BC27</f>
        <v/>
      </c>
      <c r="AH27" s="35">
        <f>+AE27+AF27+AG27</f>
        <v/>
      </c>
      <c r="AI27" s="35">
        <f>+'실적 Raw Data'!BD27</f>
        <v/>
      </c>
      <c r="AJ27" s="35">
        <f>+'실적 Raw Data'!BE27</f>
        <v/>
      </c>
      <c r="AK27" s="35">
        <f>+'실적 Raw Data'!BF27</f>
        <v/>
      </c>
      <c r="AL27" s="35">
        <f>+'실적 Raw Data'!BG27</f>
        <v/>
      </c>
      <c r="AM27" s="35">
        <f>+AJ27+AK27+AL27</f>
        <v/>
      </c>
      <c r="AN27" s="35">
        <f>+AD27+AH27+AI27+AM27</f>
        <v/>
      </c>
      <c r="AO27" s="35">
        <f>+'실적 Raw Data'!BH27</f>
        <v/>
      </c>
      <c r="AP27" s="36">
        <f>+'실적 Raw Data'!BJ27</f>
        <v/>
      </c>
      <c r="AQ27" s="35">
        <f>+AO27+AP27</f>
        <v/>
      </c>
      <c r="AR27" s="35">
        <f>+'실적 Raw Data'!BK27</f>
        <v/>
      </c>
      <c r="AS27" s="35">
        <f>+AQ27+AR27</f>
        <v/>
      </c>
      <c r="AT27" s="35">
        <f>+'실적 Raw Data'!BI27</f>
        <v/>
      </c>
      <c r="AU27" s="35">
        <f>+'실적 Raw Data'!BL27</f>
        <v/>
      </c>
      <c r="AV27" s="35">
        <f>+'실적 Raw Data'!BM27</f>
        <v/>
      </c>
      <c r="AW27" s="35">
        <f>SUM(AT27:AV27)</f>
        <v/>
      </c>
      <c r="AX27" s="35">
        <f>+AY27-(+AW27+AS27+AN27)+BX27</f>
        <v/>
      </c>
      <c r="AY27" s="35">
        <f>+'실적 Raw Data'!AT27</f>
        <v/>
      </c>
      <c r="AZ27" s="35">
        <f>+'실적 Raw Data'!X27+'실적 Raw Data'!Y27+'실적 Raw Data'!Z27</f>
        <v/>
      </c>
      <c r="BA27" s="35">
        <f>+'실적 Raw Data'!S27</f>
        <v/>
      </c>
      <c r="BB27" s="35">
        <f>'실적 Raw Data'!W27</f>
        <v/>
      </c>
      <c r="BC27" s="35">
        <f>+'실적 Raw Data'!G27</f>
        <v/>
      </c>
      <c r="BD27" s="35">
        <f>+'실적 Raw Data'!CS27</f>
        <v/>
      </c>
      <c r="BE27" s="35">
        <f>+'실적 Raw Data'!CT27</f>
        <v/>
      </c>
      <c r="BF27" s="35">
        <f>+'실적 Raw Data'!CW27</f>
        <v/>
      </c>
      <c r="BG27" s="35">
        <f>+'실적 Raw Data'!DE27</f>
        <v/>
      </c>
      <c r="BH27" s="35">
        <f>+'실적 Raw Data'!DH27</f>
        <v/>
      </c>
      <c r="BI27" s="35">
        <f>+'실적 Raw Data'!DJ27</f>
        <v/>
      </c>
      <c r="BJ27" s="35">
        <f>+'실적 Raw Data'!DL27</f>
        <v/>
      </c>
      <c r="BK27" s="35">
        <f>SUM(BD27:BJ27)</f>
        <v/>
      </c>
      <c r="BL27" s="35">
        <f>+'실적 Raw Data'!BY27+'실적 Raw Data'!BZ27+'실적 Raw Data'!CA27+'실적 Raw Data'!CB27+'실적 Raw Data'!CC27+'실적 Raw Data'!CD27+'실적 Raw Data'!CE27+'실적 Raw Data'!CF27</f>
        <v/>
      </c>
      <c r="BM27" s="35">
        <f>+'실적 Raw Data'!CH27</f>
        <v/>
      </c>
      <c r="BN27" s="35">
        <f>'실적 Raw Data'!CR27</f>
        <v/>
      </c>
      <c r="BO27" s="35">
        <f>+'실적 Raw Data'!CU27</f>
        <v/>
      </c>
      <c r="BP27" s="35">
        <f>+BQ27-BL27-BM27-BN27-BO27</f>
        <v/>
      </c>
      <c r="BQ27" s="35">
        <f>+BR27-BK27</f>
        <v/>
      </c>
      <c r="BR27" s="35">
        <f>+'실적 Raw Data'!T27</f>
        <v/>
      </c>
      <c r="BS27" s="35">
        <f>BT27-BR27</f>
        <v/>
      </c>
      <c r="BT27" s="35">
        <f>+'실적 Raw Data'!BP27</f>
        <v/>
      </c>
      <c r="BU27" s="35">
        <f>+V27-BA27-BR27</f>
        <v/>
      </c>
      <c r="BV27" s="35">
        <f>+X27-BC27-BT27</f>
        <v/>
      </c>
      <c r="BW27" s="35">
        <f>IF(OR(LEFT(J28,1)="R", LEFT(J28,3)="QZZ"),0, '실적 Raw Data'!M27)</f>
        <v/>
      </c>
      <c r="BX27" s="35">
        <f>'실적 Raw Data'!V27</f>
        <v/>
      </c>
      <c r="BY27" s="27">
        <f>IF(OR(N28="V전지:SET",N28="V전지:set/oe"),BW27*22.9,BW27)</f>
        <v/>
      </c>
    </row>
    <row r="28">
      <c r="A28" s="19">
        <f>RIGHT('실적 Raw Data'!C28,4)&amp;"년"</f>
        <v/>
      </c>
      <c r="B28" s="19">
        <f>TRIM(MID('실적 Raw Data'!C28,9,4))</f>
        <v/>
      </c>
      <c r="C28" s="20">
        <f>IF(LEFT('실적 Raw Data'!A28,5)*1=20313,"차량",IF(LEFT('실적 Raw Data'!A28,5)*1=20314,"차량",IF(LEFT('실적 Raw Data'!A28,5)*1=20342,"산전","산전")))</f>
        <v/>
      </c>
      <c r="D28" s="19">
        <f>IF(LEFT('실적 Raw Data'!A28,5)*1=20342,"모티브",IF(LEFT('실적 Raw Data'!A28,5)*1=20345,"고정형",IF(LEFT('실적 Raw Data'!A28,5)*1=20313,"차량대리점","차량OE")))</f>
        <v/>
      </c>
      <c r="E28" s="21">
        <f>VLOOKUP($D28&amp;$H28,[1]지점코드!$A:$F,4,0)</f>
        <v/>
      </c>
      <c r="F28" s="21">
        <f>VLOOKUP($D28&amp;$H28,[1]지점코드!$A:$F,5,0)</f>
        <v/>
      </c>
      <c r="G28" s="21">
        <f>VLOOKUP($D28&amp;$H28,[1]지점코드!$A:$F,6,0)</f>
        <v/>
      </c>
      <c r="H28" s="19">
        <f>LEFT('실적 Raw Data'!E28,7)</f>
        <v/>
      </c>
      <c r="I28" s="19">
        <f>SUBSTITUTE((SUBSTITUTE('실적 Raw Data'!E28,H28,"")),"    ","")</f>
        <v/>
      </c>
      <c r="J28" s="19">
        <f>TRIM(LEFT('실적 Raw Data'!B28,11))</f>
        <v/>
      </c>
      <c r="K28" s="19">
        <f>TRIM((SUBSTITUTE('실적 Raw Data'!B28,J28,"")))</f>
        <v/>
      </c>
      <c r="L28" s="22">
        <f>IF(D28="모티브",VLOOKUP(C28&amp;J28,[1]제품분류!$A:$J,4,0),IF(D28="고정형",VLOOKUP(C28&amp;J28,[1]제품분류!$A:$J,4,0),IF(D28="차량대리점",VLOOKUP("차량대리점"&amp;J28,[1]제품분류!$A:$J,4,0),IF(D28="차량OE",VLOOKUP("차량OE"&amp;J28,[1]제품분류!$A:$J,4,0)))))</f>
        <v/>
      </c>
      <c r="M28" s="22">
        <f>IF(D28="모티브",VLOOKUP("산전"&amp;J28,[1]제품분류!$A:$J,5,0),IF(D28="고정형",VLOOKUP(C28&amp;J28,[1]제품분류!$A:$J,5,0),IF(D28="차량대리점",VLOOKUP("차량대리점"&amp;J28,[1]제품분류!$A:$J,5,0),IF(D28="차량OE", VLOOKUP(C28&amp;J28,[1]제품분류!$A:$J,5,0)))))</f>
        <v/>
      </c>
      <c r="N28" s="19">
        <f>IF(D28="모티브",VLOOKUP("산전"&amp;J28,[1]제품분류!$A:$J,6,0),IF(D28="고정형",VLOOKUP("산전"&amp;J28,[1]제품분류!$A:$J,6,0),IF(D28="차량대리점",VLOOKUP("차량대리점"&amp;J28,[1]제품분류!$A:$J,6,0))))</f>
        <v/>
      </c>
      <c r="O28" s="19">
        <f>IF(D28="모티브",VLOOKUP("산전"&amp;J28,[1]제품분류!$A:$J,7,0),IF(D28="고정형",VLOOKUP("산전"&amp;J28,[1]제품분류!$A:$J,7,0),IF(D28="차량대리점",VLOOKUP("차량대리점"&amp;J28,[1]제품분류!$A:$J,7,0),IF(D28="차량OE", VLOOKUP(D28&amp;J28,[1]제품분류!$A:$J,7,0)))))</f>
        <v/>
      </c>
      <c r="P28" s="19">
        <f>IF(D28="모티브",VLOOKUP("산전"&amp;J28,[1]제품분류!$A:$J,8,0),IF(D28="고정형",VLOOKUP("산전"&amp;J28,[1]제품분류!$A:$J,8,0),IF(D28="차량대리점",VLOOKUP("차량대리점"&amp;J28,[1]제품분류!$A:$J,8,0),IF(D28="차량OE", VLOOKUP(D28&amp;J28,[1]제품분류!$A:$J,8,0)))))</f>
        <v/>
      </c>
      <c r="Q28" s="34">
        <f>+'실적 Raw Data'!BN28</f>
        <v/>
      </c>
      <c r="R28" s="34">
        <f>+'실적 Raw Data'!BO28</f>
        <v/>
      </c>
      <c r="S28" s="34">
        <f>+T28-Q28-R28</f>
        <v/>
      </c>
      <c r="T28" s="35">
        <f>'실적 Raw Data'!H28</f>
        <v/>
      </c>
      <c r="U28" s="35">
        <f>'실적 Raw Data'!I28</f>
        <v/>
      </c>
      <c r="V28" s="35">
        <f>+'실적 Raw Data'!R28</f>
        <v/>
      </c>
      <c r="W28" s="35">
        <f>'실적 Raw Data'!J28</f>
        <v/>
      </c>
      <c r="X28" s="35">
        <f>'실적 Raw Data'!F28</f>
        <v/>
      </c>
      <c r="Y28" s="35">
        <f>+'실적 Raw Data'!AV28</f>
        <v/>
      </c>
      <c r="Z28" s="35">
        <f>+'실적 Raw Data'!AW28</f>
        <v/>
      </c>
      <c r="AA28" s="35">
        <f>+'실적 Raw Data'!AX28</f>
        <v/>
      </c>
      <c r="AB28" s="35">
        <f>+'실적 Raw Data'!AY28</f>
        <v/>
      </c>
      <c r="AC28" s="35">
        <f>+'실적 Raw Data'!AZ28</f>
        <v/>
      </c>
      <c r="AD28" s="35">
        <f>+Y28+Z28+AA28+AB28+AC28</f>
        <v/>
      </c>
      <c r="AE28" s="35">
        <f>+'실적 Raw Data'!BA28</f>
        <v/>
      </c>
      <c r="AF28" s="35">
        <f>+'실적 Raw Data'!BB28</f>
        <v/>
      </c>
      <c r="AG28" s="35">
        <f>+'실적 Raw Data'!BC28</f>
        <v/>
      </c>
      <c r="AH28" s="35">
        <f>+AE28+AF28+AG28</f>
        <v/>
      </c>
      <c r="AI28" s="35">
        <f>+'실적 Raw Data'!BD28</f>
        <v/>
      </c>
      <c r="AJ28" s="35">
        <f>+'실적 Raw Data'!BE28</f>
        <v/>
      </c>
      <c r="AK28" s="35">
        <f>+'실적 Raw Data'!BF28</f>
        <v/>
      </c>
      <c r="AL28" s="35">
        <f>+'실적 Raw Data'!BG28</f>
        <v/>
      </c>
      <c r="AM28" s="35">
        <f>+AJ28+AK28+AL28</f>
        <v/>
      </c>
      <c r="AN28" s="35">
        <f>+AD28+AH28+AI28+AM28</f>
        <v/>
      </c>
      <c r="AO28" s="35">
        <f>+'실적 Raw Data'!BH28</f>
        <v/>
      </c>
      <c r="AP28" s="36">
        <f>+'실적 Raw Data'!BJ28</f>
        <v/>
      </c>
      <c r="AQ28" s="35">
        <f>+AO28+AP28</f>
        <v/>
      </c>
      <c r="AR28" s="35">
        <f>+'실적 Raw Data'!BK28</f>
        <v/>
      </c>
      <c r="AS28" s="35">
        <f>+AQ28+AR28</f>
        <v/>
      </c>
      <c r="AT28" s="35">
        <f>+'실적 Raw Data'!BI28</f>
        <v/>
      </c>
      <c r="AU28" s="35">
        <f>+'실적 Raw Data'!BL28</f>
        <v/>
      </c>
      <c r="AV28" s="35">
        <f>+'실적 Raw Data'!BM28</f>
        <v/>
      </c>
      <c r="AW28" s="35">
        <f>SUM(AT28:AV28)</f>
        <v/>
      </c>
      <c r="AX28" s="35">
        <f>+AY28-(+AW28+AS28+AN28)+BX28</f>
        <v/>
      </c>
      <c r="AY28" s="35">
        <f>+'실적 Raw Data'!AT28</f>
        <v/>
      </c>
      <c r="AZ28" s="35">
        <f>+'실적 Raw Data'!X28+'실적 Raw Data'!Y28+'실적 Raw Data'!Z28</f>
        <v/>
      </c>
      <c r="BA28" s="35">
        <f>+'실적 Raw Data'!S28</f>
        <v/>
      </c>
      <c r="BB28" s="35">
        <f>'실적 Raw Data'!W28</f>
        <v/>
      </c>
      <c r="BC28" s="35">
        <f>+'실적 Raw Data'!G28</f>
        <v/>
      </c>
      <c r="BD28" s="35">
        <f>+'실적 Raw Data'!CS28</f>
        <v/>
      </c>
      <c r="BE28" s="35">
        <f>+'실적 Raw Data'!CT28</f>
        <v/>
      </c>
      <c r="BF28" s="35">
        <f>+'실적 Raw Data'!CW28</f>
        <v/>
      </c>
      <c r="BG28" s="35">
        <f>+'실적 Raw Data'!DE28</f>
        <v/>
      </c>
      <c r="BH28" s="35">
        <f>+'실적 Raw Data'!DH28</f>
        <v/>
      </c>
      <c r="BI28" s="35">
        <f>+'실적 Raw Data'!DJ28</f>
        <v/>
      </c>
      <c r="BJ28" s="35">
        <f>+'실적 Raw Data'!DL28</f>
        <v/>
      </c>
      <c r="BK28" s="35">
        <f>SUM(BD28:BJ28)</f>
        <v/>
      </c>
      <c r="BL28" s="35">
        <f>+'실적 Raw Data'!BY28+'실적 Raw Data'!BZ28+'실적 Raw Data'!CA28+'실적 Raw Data'!CB28+'실적 Raw Data'!CC28+'실적 Raw Data'!CD28+'실적 Raw Data'!CE28+'실적 Raw Data'!CF28</f>
        <v/>
      </c>
      <c r="BM28" s="35">
        <f>+'실적 Raw Data'!CH28</f>
        <v/>
      </c>
      <c r="BN28" s="35">
        <f>'실적 Raw Data'!CR28</f>
        <v/>
      </c>
      <c r="BO28" s="35">
        <f>+'실적 Raw Data'!CU28</f>
        <v/>
      </c>
      <c r="BP28" s="35">
        <f>+BQ28-BL28-BM28-BN28-BO28</f>
        <v/>
      </c>
      <c r="BQ28" s="35">
        <f>+BR28-BK28</f>
        <v/>
      </c>
      <c r="BR28" s="35">
        <f>+'실적 Raw Data'!T28</f>
        <v/>
      </c>
      <c r="BS28" s="35">
        <f>BT28-BR28</f>
        <v/>
      </c>
      <c r="BT28" s="35">
        <f>+'실적 Raw Data'!BP28</f>
        <v/>
      </c>
      <c r="BU28" s="35">
        <f>+V28-BA28-BR28</f>
        <v/>
      </c>
      <c r="BV28" s="35">
        <f>+X28-BC28-BT28</f>
        <v/>
      </c>
      <c r="BW28" s="35">
        <f>IF(OR(LEFT(J29,1)="R", LEFT(J29,3)="QZZ"),0, '실적 Raw Data'!M28)</f>
        <v/>
      </c>
      <c r="BX28" s="35">
        <f>'실적 Raw Data'!V28</f>
        <v/>
      </c>
      <c r="BY28" s="27">
        <f>IF(OR(N29="V전지:SET",N29="V전지:set/oe"),BW28*22.9,BW28)</f>
        <v/>
      </c>
    </row>
    <row r="29">
      <c r="A29" s="19">
        <f>RIGHT('실적 Raw Data'!C29,4)&amp;"년"</f>
        <v/>
      </c>
      <c r="B29" s="19">
        <f>TRIM(MID('실적 Raw Data'!C29,9,4))</f>
        <v/>
      </c>
      <c r="C29" s="20">
        <f>IF(LEFT('실적 Raw Data'!A29,5)*1=20313,"차량",IF(LEFT('실적 Raw Data'!A29,5)*1=20314,"차량",IF(LEFT('실적 Raw Data'!A29,5)*1=20342,"산전","산전")))</f>
        <v/>
      </c>
      <c r="D29" s="19">
        <f>IF(LEFT('실적 Raw Data'!A29,5)*1=20342,"모티브",IF(LEFT('실적 Raw Data'!A29,5)*1=20345,"고정형",IF(LEFT('실적 Raw Data'!A29,5)*1=20313,"차량대리점","차량OE")))</f>
        <v/>
      </c>
      <c r="E29" s="21">
        <f>VLOOKUP($D29&amp;$H29,[1]지점코드!$A:$F,4,0)</f>
        <v/>
      </c>
      <c r="F29" s="21">
        <f>VLOOKUP($D29&amp;$H29,[1]지점코드!$A:$F,5,0)</f>
        <v/>
      </c>
      <c r="G29" s="21">
        <f>VLOOKUP($D29&amp;$H29,[1]지점코드!$A:$F,6,0)</f>
        <v/>
      </c>
      <c r="H29" s="19">
        <f>LEFT('실적 Raw Data'!E29,7)</f>
        <v/>
      </c>
      <c r="I29" s="19">
        <f>SUBSTITUTE((SUBSTITUTE('실적 Raw Data'!E29,H29,"")),"    ","")</f>
        <v/>
      </c>
      <c r="J29" s="19">
        <f>TRIM(LEFT('실적 Raw Data'!B29,11))</f>
        <v/>
      </c>
      <c r="K29" s="19">
        <f>TRIM((SUBSTITUTE('실적 Raw Data'!B29,J29,"")))</f>
        <v/>
      </c>
      <c r="L29" s="22">
        <f>IF(D29="모티브",VLOOKUP(C29&amp;J29,[1]제품분류!$A:$J,4,0),IF(D29="고정형",VLOOKUP(C29&amp;J29,[1]제품분류!$A:$J,4,0),IF(D29="차량대리점",VLOOKUP("차량대리점"&amp;J29,[1]제품분류!$A:$J,4,0),IF(D29="차량OE",VLOOKUP("차량OE"&amp;J29,[1]제품분류!$A:$J,4,0)))))</f>
        <v/>
      </c>
      <c r="M29" s="22">
        <f>IF(D29="모티브",VLOOKUP("산전"&amp;J29,[1]제품분류!$A:$J,5,0),IF(D29="고정형",VLOOKUP(C29&amp;J29,[1]제품분류!$A:$J,5,0),IF(D29="차량대리점",VLOOKUP("차량대리점"&amp;J29,[1]제품분류!$A:$J,5,0),IF(D29="차량OE", VLOOKUP(C29&amp;J29,[1]제품분류!$A:$J,5,0)))))</f>
        <v/>
      </c>
      <c r="N29" s="19">
        <f>IF(D29="모티브",VLOOKUP("산전"&amp;J29,[1]제품분류!$A:$J,6,0),IF(D29="고정형",VLOOKUP("산전"&amp;J29,[1]제품분류!$A:$J,6,0),IF(D29="차량대리점",VLOOKUP("차량대리점"&amp;J29,[1]제품분류!$A:$J,6,0))))</f>
        <v/>
      </c>
      <c r="O29" s="19">
        <f>IF(D29="모티브",VLOOKUP("산전"&amp;J29,[1]제품분류!$A:$J,7,0),IF(D29="고정형",VLOOKUP("산전"&amp;J29,[1]제품분류!$A:$J,7,0),IF(D29="차량대리점",VLOOKUP("차량대리점"&amp;J29,[1]제품분류!$A:$J,7,0),IF(D29="차량OE", VLOOKUP(D29&amp;J29,[1]제품분류!$A:$J,7,0)))))</f>
        <v/>
      </c>
      <c r="P29" s="19">
        <f>IF(D29="모티브",VLOOKUP("산전"&amp;J29,[1]제품분류!$A:$J,8,0),IF(D29="고정형",VLOOKUP("산전"&amp;J29,[1]제품분류!$A:$J,8,0),IF(D29="차량대리점",VLOOKUP("차량대리점"&amp;J29,[1]제품분류!$A:$J,8,0),IF(D29="차량OE", VLOOKUP(D29&amp;J29,[1]제품분류!$A:$J,8,0)))))</f>
        <v/>
      </c>
      <c r="Q29" s="34">
        <f>+'실적 Raw Data'!BN29</f>
        <v/>
      </c>
      <c r="R29" s="34">
        <f>+'실적 Raw Data'!BO29</f>
        <v/>
      </c>
      <c r="S29" s="34">
        <f>+T29-Q29-R29</f>
        <v/>
      </c>
      <c r="T29" s="35">
        <f>'실적 Raw Data'!H29</f>
        <v/>
      </c>
      <c r="U29" s="35">
        <f>'실적 Raw Data'!I29</f>
        <v/>
      </c>
      <c r="V29" s="35">
        <f>+'실적 Raw Data'!R29</f>
        <v/>
      </c>
      <c r="W29" s="35">
        <f>'실적 Raw Data'!J29</f>
        <v/>
      </c>
      <c r="X29" s="35">
        <f>'실적 Raw Data'!F29</f>
        <v/>
      </c>
      <c r="Y29" s="35">
        <f>+'실적 Raw Data'!AV29</f>
        <v/>
      </c>
      <c r="Z29" s="35">
        <f>+'실적 Raw Data'!AW29</f>
        <v/>
      </c>
      <c r="AA29" s="35">
        <f>+'실적 Raw Data'!AX29</f>
        <v/>
      </c>
      <c r="AB29" s="35">
        <f>+'실적 Raw Data'!AY29</f>
        <v/>
      </c>
      <c r="AC29" s="35">
        <f>+'실적 Raw Data'!AZ29</f>
        <v/>
      </c>
      <c r="AD29" s="35">
        <f>+Y29+Z29+AA29+AB29+AC29</f>
        <v/>
      </c>
      <c r="AE29" s="35">
        <f>+'실적 Raw Data'!BA29</f>
        <v/>
      </c>
      <c r="AF29" s="35">
        <f>+'실적 Raw Data'!BB29</f>
        <v/>
      </c>
      <c r="AG29" s="35">
        <f>+'실적 Raw Data'!BC29</f>
        <v/>
      </c>
      <c r="AH29" s="35">
        <f>+AE29+AF29+AG29</f>
        <v/>
      </c>
      <c r="AI29" s="35">
        <f>+'실적 Raw Data'!BD29</f>
        <v/>
      </c>
      <c r="AJ29" s="35">
        <f>+'실적 Raw Data'!BE29</f>
        <v/>
      </c>
      <c r="AK29" s="35">
        <f>+'실적 Raw Data'!BF29</f>
        <v/>
      </c>
      <c r="AL29" s="35">
        <f>+'실적 Raw Data'!BG29</f>
        <v/>
      </c>
      <c r="AM29" s="35">
        <f>+AJ29+AK29+AL29</f>
        <v/>
      </c>
      <c r="AN29" s="35">
        <f>+AD29+AH29+AI29+AM29</f>
        <v/>
      </c>
      <c r="AO29" s="35">
        <f>+'실적 Raw Data'!BH29</f>
        <v/>
      </c>
      <c r="AP29" s="36">
        <f>+'실적 Raw Data'!BJ29</f>
        <v/>
      </c>
      <c r="AQ29" s="35">
        <f>+AO29+AP29</f>
        <v/>
      </c>
      <c r="AR29" s="35">
        <f>+'실적 Raw Data'!BK29</f>
        <v/>
      </c>
      <c r="AS29" s="35">
        <f>+AQ29+AR29</f>
        <v/>
      </c>
      <c r="AT29" s="35">
        <f>+'실적 Raw Data'!BI29</f>
        <v/>
      </c>
      <c r="AU29" s="35">
        <f>+'실적 Raw Data'!BL29</f>
        <v/>
      </c>
      <c r="AV29" s="35">
        <f>+'실적 Raw Data'!BM29</f>
        <v/>
      </c>
      <c r="AW29" s="35">
        <f>SUM(AT29:AV29)</f>
        <v/>
      </c>
      <c r="AX29" s="35">
        <f>+AY29-(+AW29+AS29+AN29)+BX29</f>
        <v/>
      </c>
      <c r="AY29" s="35">
        <f>+'실적 Raw Data'!AT29</f>
        <v/>
      </c>
      <c r="AZ29" s="35">
        <f>+'실적 Raw Data'!X29+'실적 Raw Data'!Y29+'실적 Raw Data'!Z29</f>
        <v/>
      </c>
      <c r="BA29" s="35">
        <f>+'실적 Raw Data'!S29</f>
        <v/>
      </c>
      <c r="BB29" s="35">
        <f>'실적 Raw Data'!W29</f>
        <v/>
      </c>
      <c r="BC29" s="35">
        <f>+'실적 Raw Data'!G29</f>
        <v/>
      </c>
      <c r="BD29" s="35">
        <f>+'실적 Raw Data'!CS29</f>
        <v/>
      </c>
      <c r="BE29" s="35">
        <f>+'실적 Raw Data'!CT29</f>
        <v/>
      </c>
      <c r="BF29" s="35">
        <f>+'실적 Raw Data'!CW29</f>
        <v/>
      </c>
      <c r="BG29" s="35">
        <f>+'실적 Raw Data'!DE29</f>
        <v/>
      </c>
      <c r="BH29" s="35">
        <f>+'실적 Raw Data'!DH29</f>
        <v/>
      </c>
      <c r="BI29" s="35">
        <f>+'실적 Raw Data'!DJ29</f>
        <v/>
      </c>
      <c r="BJ29" s="35">
        <f>+'실적 Raw Data'!DL29</f>
        <v/>
      </c>
      <c r="BK29" s="35">
        <f>SUM(BD29:BJ29)</f>
        <v/>
      </c>
      <c r="BL29" s="35">
        <f>+'실적 Raw Data'!BY29+'실적 Raw Data'!BZ29+'실적 Raw Data'!CA29+'실적 Raw Data'!CB29+'실적 Raw Data'!CC29+'실적 Raw Data'!CD29+'실적 Raw Data'!CE29+'실적 Raw Data'!CF29</f>
        <v/>
      </c>
      <c r="BM29" s="35">
        <f>+'실적 Raw Data'!CH29</f>
        <v/>
      </c>
      <c r="BN29" s="35">
        <f>'실적 Raw Data'!CR29</f>
        <v/>
      </c>
      <c r="BO29" s="35">
        <f>+'실적 Raw Data'!CU29</f>
        <v/>
      </c>
      <c r="BP29" s="35">
        <f>+BQ29-BL29-BM29-BN29-BO29</f>
        <v/>
      </c>
      <c r="BQ29" s="35">
        <f>+BR29-BK29</f>
        <v/>
      </c>
      <c r="BR29" s="35">
        <f>+'실적 Raw Data'!T29</f>
        <v/>
      </c>
      <c r="BS29" s="35">
        <f>BT29-BR29</f>
        <v/>
      </c>
      <c r="BT29" s="35">
        <f>+'실적 Raw Data'!BP29</f>
        <v/>
      </c>
      <c r="BU29" s="35">
        <f>+V29-BA29-BR29</f>
        <v/>
      </c>
      <c r="BV29" s="35">
        <f>+X29-BC29-BT29</f>
        <v/>
      </c>
      <c r="BW29" s="35">
        <f>IF(OR(LEFT(J30,1)="R", LEFT(J30,3)="QZZ"),0, '실적 Raw Data'!M29)</f>
        <v/>
      </c>
      <c r="BX29" s="35">
        <f>'실적 Raw Data'!V29</f>
        <v/>
      </c>
      <c r="BY29" s="27">
        <f>IF(OR(N30="V전지:SET",N30="V전지:set/oe"),BW29*22.9,BW29)</f>
        <v/>
      </c>
    </row>
    <row r="30">
      <c r="A30" s="19">
        <f>RIGHT('실적 Raw Data'!C30,4)&amp;"년"</f>
        <v/>
      </c>
      <c r="B30" s="19">
        <f>TRIM(MID('실적 Raw Data'!C30,9,4))</f>
        <v/>
      </c>
      <c r="C30" s="20">
        <f>IF(LEFT('실적 Raw Data'!A30,5)*1=20313,"차량",IF(LEFT('실적 Raw Data'!A30,5)*1=20314,"차량",IF(LEFT('실적 Raw Data'!A30,5)*1=20342,"산전","산전")))</f>
        <v/>
      </c>
      <c r="D30" s="19">
        <f>IF(LEFT('실적 Raw Data'!A30,5)*1=20342,"모티브",IF(LEFT('실적 Raw Data'!A30,5)*1=20345,"고정형",IF(LEFT('실적 Raw Data'!A30,5)*1=20313,"차량대리점","차량OE")))</f>
        <v/>
      </c>
      <c r="E30" s="21">
        <f>VLOOKUP($D30&amp;$H30,[1]지점코드!$A:$F,4,0)</f>
        <v/>
      </c>
      <c r="F30" s="21">
        <f>VLOOKUP($D30&amp;$H30,[1]지점코드!$A:$F,5,0)</f>
        <v/>
      </c>
      <c r="G30" s="21">
        <f>VLOOKUP($D30&amp;$H30,[1]지점코드!$A:$F,6,0)</f>
        <v/>
      </c>
      <c r="H30" s="19">
        <f>LEFT('실적 Raw Data'!E30,7)</f>
        <v/>
      </c>
      <c r="I30" s="19">
        <f>SUBSTITUTE((SUBSTITUTE('실적 Raw Data'!E30,H30,"")),"    ","")</f>
        <v/>
      </c>
      <c r="J30" s="19">
        <f>TRIM(LEFT('실적 Raw Data'!B30,11))</f>
        <v/>
      </c>
      <c r="K30" s="19">
        <f>TRIM((SUBSTITUTE('실적 Raw Data'!B30,J30,"")))</f>
        <v/>
      </c>
      <c r="L30" s="22">
        <f>IF(D30="모티브",VLOOKUP(C30&amp;J30,[1]제품분류!$A:$J,4,0),IF(D30="고정형",VLOOKUP(C30&amp;J30,[1]제품분류!$A:$J,4,0),IF(D30="차량대리점",VLOOKUP("차량대리점"&amp;J30,[1]제품분류!$A:$J,4,0),IF(D30="차량OE",VLOOKUP("차량OE"&amp;J30,[1]제품분류!$A:$J,4,0)))))</f>
        <v/>
      </c>
      <c r="M30" s="22">
        <f>IF(D30="모티브",VLOOKUP("산전"&amp;J30,[1]제품분류!$A:$J,5,0),IF(D30="고정형",VLOOKUP(C30&amp;J30,[1]제품분류!$A:$J,5,0),IF(D30="차량대리점",VLOOKUP("차량대리점"&amp;J30,[1]제품분류!$A:$J,5,0),IF(D30="차량OE", VLOOKUP(C30&amp;J30,[1]제품분류!$A:$J,5,0)))))</f>
        <v/>
      </c>
      <c r="N30" s="19">
        <f>IF(D30="모티브",VLOOKUP("산전"&amp;J30,[1]제품분류!$A:$J,6,0),IF(D30="고정형",VLOOKUP("산전"&amp;J30,[1]제품분류!$A:$J,6,0),IF(D30="차량대리점",VLOOKUP("차량대리점"&amp;J30,[1]제품분류!$A:$J,6,0))))</f>
        <v/>
      </c>
      <c r="O30" s="19">
        <f>IF(D30="모티브",VLOOKUP("산전"&amp;J30,[1]제품분류!$A:$J,7,0),IF(D30="고정형",VLOOKUP("산전"&amp;J30,[1]제품분류!$A:$J,7,0),IF(D30="차량대리점",VLOOKUP("차량대리점"&amp;J30,[1]제품분류!$A:$J,7,0),IF(D30="차량OE", VLOOKUP(D30&amp;J30,[1]제품분류!$A:$J,7,0)))))</f>
        <v/>
      </c>
      <c r="P30" s="19">
        <f>IF(D30="모티브",VLOOKUP("산전"&amp;J30,[1]제품분류!$A:$J,8,0),IF(D30="고정형",VLOOKUP("산전"&amp;J30,[1]제품분류!$A:$J,8,0),IF(D30="차량대리점",VLOOKUP("차량대리점"&amp;J30,[1]제품분류!$A:$J,8,0),IF(D30="차량OE", VLOOKUP(D30&amp;J30,[1]제품분류!$A:$J,8,0)))))</f>
        <v/>
      </c>
      <c r="Q30" s="34">
        <f>+'실적 Raw Data'!BN30</f>
        <v/>
      </c>
      <c r="R30" s="34">
        <f>+'실적 Raw Data'!BO30</f>
        <v/>
      </c>
      <c r="S30" s="34">
        <f>+T30-Q30-R30</f>
        <v/>
      </c>
      <c r="T30" s="35">
        <f>'실적 Raw Data'!H30</f>
        <v/>
      </c>
      <c r="U30" s="35">
        <f>'실적 Raw Data'!I30</f>
        <v/>
      </c>
      <c r="V30" s="35">
        <f>+'실적 Raw Data'!R30</f>
        <v/>
      </c>
      <c r="W30" s="35">
        <f>'실적 Raw Data'!J30</f>
        <v/>
      </c>
      <c r="X30" s="35">
        <f>'실적 Raw Data'!F30</f>
        <v/>
      </c>
      <c r="Y30" s="35">
        <f>+'실적 Raw Data'!AV30</f>
        <v/>
      </c>
      <c r="Z30" s="35">
        <f>+'실적 Raw Data'!AW30</f>
        <v/>
      </c>
      <c r="AA30" s="35">
        <f>+'실적 Raw Data'!AX30</f>
        <v/>
      </c>
      <c r="AB30" s="35">
        <f>+'실적 Raw Data'!AY30</f>
        <v/>
      </c>
      <c r="AC30" s="35">
        <f>+'실적 Raw Data'!AZ30</f>
        <v/>
      </c>
      <c r="AD30" s="35">
        <f>+Y30+Z30+AA30+AB30+AC30</f>
        <v/>
      </c>
      <c r="AE30" s="35">
        <f>+'실적 Raw Data'!BA30</f>
        <v/>
      </c>
      <c r="AF30" s="35">
        <f>+'실적 Raw Data'!BB30</f>
        <v/>
      </c>
      <c r="AG30" s="35">
        <f>+'실적 Raw Data'!BC30</f>
        <v/>
      </c>
      <c r="AH30" s="35">
        <f>+AE30+AF30+AG30</f>
        <v/>
      </c>
      <c r="AI30" s="35">
        <f>+'실적 Raw Data'!BD30</f>
        <v/>
      </c>
      <c r="AJ30" s="35">
        <f>+'실적 Raw Data'!BE30</f>
        <v/>
      </c>
      <c r="AK30" s="35">
        <f>+'실적 Raw Data'!BF30</f>
        <v/>
      </c>
      <c r="AL30" s="35">
        <f>+'실적 Raw Data'!BG30</f>
        <v/>
      </c>
      <c r="AM30" s="35">
        <f>+AJ30+AK30+AL30</f>
        <v/>
      </c>
      <c r="AN30" s="35">
        <f>+AD30+AH30+AI30+AM30</f>
        <v/>
      </c>
      <c r="AO30" s="35">
        <f>+'실적 Raw Data'!BH30</f>
        <v/>
      </c>
      <c r="AP30" s="36">
        <f>+'실적 Raw Data'!BJ30</f>
        <v/>
      </c>
      <c r="AQ30" s="35">
        <f>+AO30+AP30</f>
        <v/>
      </c>
      <c r="AR30" s="35">
        <f>+'실적 Raw Data'!BK30</f>
        <v/>
      </c>
      <c r="AS30" s="35">
        <f>+AQ30+AR30</f>
        <v/>
      </c>
      <c r="AT30" s="35">
        <f>+'실적 Raw Data'!BI30</f>
        <v/>
      </c>
      <c r="AU30" s="35">
        <f>+'실적 Raw Data'!BL30</f>
        <v/>
      </c>
      <c r="AV30" s="35">
        <f>+'실적 Raw Data'!BM30</f>
        <v/>
      </c>
      <c r="AW30" s="35">
        <f>SUM(AT30:AV30)</f>
        <v/>
      </c>
      <c r="AX30" s="35">
        <f>+AY30-(+AW30+AS30+AN30)+BX30</f>
        <v/>
      </c>
      <c r="AY30" s="35">
        <f>+'실적 Raw Data'!AT30</f>
        <v/>
      </c>
      <c r="AZ30" s="35">
        <f>+'실적 Raw Data'!X30+'실적 Raw Data'!Y30+'실적 Raw Data'!Z30</f>
        <v/>
      </c>
      <c r="BA30" s="35">
        <f>+'실적 Raw Data'!S30</f>
        <v/>
      </c>
      <c r="BB30" s="35">
        <f>'실적 Raw Data'!W30</f>
        <v/>
      </c>
      <c r="BC30" s="35">
        <f>+'실적 Raw Data'!G30</f>
        <v/>
      </c>
      <c r="BD30" s="35">
        <f>+'실적 Raw Data'!CS30</f>
        <v/>
      </c>
      <c r="BE30" s="35">
        <f>+'실적 Raw Data'!CT30</f>
        <v/>
      </c>
      <c r="BF30" s="35">
        <f>+'실적 Raw Data'!CW30</f>
        <v/>
      </c>
      <c r="BG30" s="35">
        <f>+'실적 Raw Data'!DE30</f>
        <v/>
      </c>
      <c r="BH30" s="35">
        <f>+'실적 Raw Data'!DH30</f>
        <v/>
      </c>
      <c r="BI30" s="35">
        <f>+'실적 Raw Data'!DJ30</f>
        <v/>
      </c>
      <c r="BJ30" s="35">
        <f>+'실적 Raw Data'!DL30</f>
        <v/>
      </c>
      <c r="BK30" s="35">
        <f>SUM(BD30:BJ30)</f>
        <v/>
      </c>
      <c r="BL30" s="35">
        <f>+'실적 Raw Data'!BY30+'실적 Raw Data'!BZ30+'실적 Raw Data'!CA30+'실적 Raw Data'!CB30+'실적 Raw Data'!CC30+'실적 Raw Data'!CD30+'실적 Raw Data'!CE30+'실적 Raw Data'!CF30</f>
        <v/>
      </c>
      <c r="BM30" s="35">
        <f>+'실적 Raw Data'!CH30</f>
        <v/>
      </c>
      <c r="BN30" s="35">
        <f>'실적 Raw Data'!CR30</f>
        <v/>
      </c>
      <c r="BO30" s="35">
        <f>+'실적 Raw Data'!CU30</f>
        <v/>
      </c>
      <c r="BP30" s="35">
        <f>+BQ30-BL30-BM30-BN30-BO30</f>
        <v/>
      </c>
      <c r="BQ30" s="35">
        <f>+BR30-BK30</f>
        <v/>
      </c>
      <c r="BR30" s="35">
        <f>+'실적 Raw Data'!T30</f>
        <v/>
      </c>
      <c r="BS30" s="35">
        <f>BT30-BR30</f>
        <v/>
      </c>
      <c r="BT30" s="35">
        <f>+'실적 Raw Data'!BP30</f>
        <v/>
      </c>
      <c r="BU30" s="35">
        <f>+V30-BA30-BR30</f>
        <v/>
      </c>
      <c r="BV30" s="35">
        <f>+X30-BC30-BT30</f>
        <v/>
      </c>
      <c r="BW30" s="35">
        <f>IF(OR(LEFT(J31,1)="R", LEFT(J31,3)="QZZ"),0, '실적 Raw Data'!M30)</f>
        <v/>
      </c>
      <c r="BX30" s="35">
        <f>'실적 Raw Data'!V30</f>
        <v/>
      </c>
      <c r="BY30" s="27">
        <f>IF(OR(N31="V전지:SET",N31="V전지:set/oe"),BW30*22.9,BW30)</f>
        <v/>
      </c>
    </row>
    <row r="31">
      <c r="A31" s="19">
        <f>RIGHT('실적 Raw Data'!C31,4)&amp;"년"</f>
        <v/>
      </c>
      <c r="B31" s="19">
        <f>TRIM(MID('실적 Raw Data'!C31,9,4))</f>
        <v/>
      </c>
      <c r="C31" s="20">
        <f>IF(LEFT('실적 Raw Data'!A31,5)*1=20313,"차량",IF(LEFT('실적 Raw Data'!A31,5)*1=20314,"차량",IF(LEFT('실적 Raw Data'!A31,5)*1=20342,"산전","산전")))</f>
        <v/>
      </c>
      <c r="D31" s="19">
        <f>IF(LEFT('실적 Raw Data'!A31,5)*1=20342,"모티브",IF(LEFT('실적 Raw Data'!A31,5)*1=20345,"고정형",IF(LEFT('실적 Raw Data'!A31,5)*1=20313,"차량대리점","차량OE")))</f>
        <v/>
      </c>
      <c r="E31" s="21">
        <f>VLOOKUP($D31&amp;$H31,[1]지점코드!$A:$F,4,0)</f>
        <v/>
      </c>
      <c r="F31" s="21">
        <f>VLOOKUP($D31&amp;$H31,[1]지점코드!$A:$F,5,0)</f>
        <v/>
      </c>
      <c r="G31" s="21">
        <f>VLOOKUP($D31&amp;$H31,[1]지점코드!$A:$F,6,0)</f>
        <v/>
      </c>
      <c r="H31" s="19">
        <f>LEFT('실적 Raw Data'!E31,7)</f>
        <v/>
      </c>
      <c r="I31" s="19">
        <f>SUBSTITUTE((SUBSTITUTE('실적 Raw Data'!E31,H31,"")),"    ","")</f>
        <v/>
      </c>
      <c r="J31" s="19">
        <f>TRIM(LEFT('실적 Raw Data'!B31,11))</f>
        <v/>
      </c>
      <c r="K31" s="19">
        <f>TRIM((SUBSTITUTE('실적 Raw Data'!B31,J31,"")))</f>
        <v/>
      </c>
      <c r="L31" s="22">
        <f>IF(D31="모티브",VLOOKUP(C31&amp;J31,[1]제품분류!$A:$J,4,0),IF(D31="고정형",VLOOKUP(C31&amp;J31,[1]제품분류!$A:$J,4,0),IF(D31="차량대리점",VLOOKUP("차량대리점"&amp;J31,[1]제품분류!$A:$J,4,0),IF(D31="차량OE",VLOOKUP("차량OE"&amp;J31,[1]제품분류!$A:$J,4,0)))))</f>
        <v/>
      </c>
      <c r="M31" s="22">
        <f>IF(D31="모티브",VLOOKUP("산전"&amp;J31,[1]제품분류!$A:$J,5,0),IF(D31="고정형",VLOOKUP(C31&amp;J31,[1]제품분류!$A:$J,5,0),IF(D31="차량대리점",VLOOKUP("차량대리점"&amp;J31,[1]제품분류!$A:$J,5,0),IF(D31="차량OE", VLOOKUP(C31&amp;J31,[1]제품분류!$A:$J,5,0)))))</f>
        <v/>
      </c>
      <c r="N31" s="19">
        <f>IF(D31="모티브",VLOOKUP("산전"&amp;J31,[1]제품분류!$A:$J,6,0),IF(D31="고정형",VLOOKUP("산전"&amp;J31,[1]제품분류!$A:$J,6,0),IF(D31="차량대리점",VLOOKUP("차량대리점"&amp;J31,[1]제품분류!$A:$J,6,0))))</f>
        <v/>
      </c>
      <c r="O31" s="19">
        <f>IF(D31="모티브",VLOOKUP("산전"&amp;J31,[1]제품분류!$A:$J,7,0),IF(D31="고정형",VLOOKUP("산전"&amp;J31,[1]제품분류!$A:$J,7,0),IF(D31="차량대리점",VLOOKUP("차량대리점"&amp;J31,[1]제품분류!$A:$J,7,0),IF(D31="차량OE", VLOOKUP(D31&amp;J31,[1]제품분류!$A:$J,7,0)))))</f>
        <v/>
      </c>
      <c r="P31" s="19">
        <f>IF(D31="모티브",VLOOKUP("산전"&amp;J31,[1]제품분류!$A:$J,8,0),IF(D31="고정형",VLOOKUP("산전"&amp;J31,[1]제품분류!$A:$J,8,0),IF(D31="차량대리점",VLOOKUP("차량대리점"&amp;J31,[1]제품분류!$A:$J,8,0),IF(D31="차량OE", VLOOKUP(D31&amp;J31,[1]제품분류!$A:$J,8,0)))))</f>
        <v/>
      </c>
      <c r="Q31" s="34">
        <f>+'실적 Raw Data'!BN31</f>
        <v/>
      </c>
      <c r="R31" s="34">
        <f>+'실적 Raw Data'!BO31</f>
        <v/>
      </c>
      <c r="S31" s="34">
        <f>+T31-Q31-R31</f>
        <v/>
      </c>
      <c r="T31" s="35">
        <f>'실적 Raw Data'!H31</f>
        <v/>
      </c>
      <c r="U31" s="35">
        <f>'실적 Raw Data'!I31</f>
        <v/>
      </c>
      <c r="V31" s="35">
        <f>+'실적 Raw Data'!R31</f>
        <v/>
      </c>
      <c r="W31" s="35">
        <f>'실적 Raw Data'!J31</f>
        <v/>
      </c>
      <c r="X31" s="35">
        <f>'실적 Raw Data'!F31</f>
        <v/>
      </c>
      <c r="Y31" s="35">
        <f>+'실적 Raw Data'!AV31</f>
        <v/>
      </c>
      <c r="Z31" s="35">
        <f>+'실적 Raw Data'!AW31</f>
        <v/>
      </c>
      <c r="AA31" s="35">
        <f>+'실적 Raw Data'!AX31</f>
        <v/>
      </c>
      <c r="AB31" s="35">
        <f>+'실적 Raw Data'!AY31</f>
        <v/>
      </c>
      <c r="AC31" s="35">
        <f>+'실적 Raw Data'!AZ31</f>
        <v/>
      </c>
      <c r="AD31" s="35">
        <f>+Y31+Z31+AA31+AB31+AC31</f>
        <v/>
      </c>
      <c r="AE31" s="35">
        <f>+'실적 Raw Data'!BA31</f>
        <v/>
      </c>
      <c r="AF31" s="35">
        <f>+'실적 Raw Data'!BB31</f>
        <v/>
      </c>
      <c r="AG31" s="35">
        <f>+'실적 Raw Data'!BC31</f>
        <v/>
      </c>
      <c r="AH31" s="35">
        <f>+AE31+AF31+AG31</f>
        <v/>
      </c>
      <c r="AI31" s="35">
        <f>+'실적 Raw Data'!BD31</f>
        <v/>
      </c>
      <c r="AJ31" s="35">
        <f>+'실적 Raw Data'!BE31</f>
        <v/>
      </c>
      <c r="AK31" s="35">
        <f>+'실적 Raw Data'!BF31</f>
        <v/>
      </c>
      <c r="AL31" s="35">
        <f>+'실적 Raw Data'!BG31</f>
        <v/>
      </c>
      <c r="AM31" s="35">
        <f>+AJ31+AK31+AL31</f>
        <v/>
      </c>
      <c r="AN31" s="35">
        <f>+AD31+AH31+AI31+AM31</f>
        <v/>
      </c>
      <c r="AO31" s="35">
        <f>+'실적 Raw Data'!BH31</f>
        <v/>
      </c>
      <c r="AP31" s="36">
        <f>+'실적 Raw Data'!BJ31</f>
        <v/>
      </c>
      <c r="AQ31" s="35">
        <f>+AO31+AP31</f>
        <v/>
      </c>
      <c r="AR31" s="35">
        <f>+'실적 Raw Data'!BK31</f>
        <v/>
      </c>
      <c r="AS31" s="35">
        <f>+AQ31+AR31</f>
        <v/>
      </c>
      <c r="AT31" s="35">
        <f>+'실적 Raw Data'!BI31</f>
        <v/>
      </c>
      <c r="AU31" s="35">
        <f>+'실적 Raw Data'!BL31</f>
        <v/>
      </c>
      <c r="AV31" s="35">
        <f>+'실적 Raw Data'!BM31</f>
        <v/>
      </c>
      <c r="AW31" s="35">
        <f>SUM(AT31:AV31)</f>
        <v/>
      </c>
      <c r="AX31" s="35">
        <f>+AY31-(+AW31+AS31+AN31)+BX31</f>
        <v/>
      </c>
      <c r="AY31" s="35">
        <f>+'실적 Raw Data'!AT31</f>
        <v/>
      </c>
      <c r="AZ31" s="35">
        <f>+'실적 Raw Data'!X31+'실적 Raw Data'!Y31+'실적 Raw Data'!Z31</f>
        <v/>
      </c>
      <c r="BA31" s="35">
        <f>+'실적 Raw Data'!S31</f>
        <v/>
      </c>
      <c r="BB31" s="35">
        <f>'실적 Raw Data'!W31</f>
        <v/>
      </c>
      <c r="BC31" s="35">
        <f>+'실적 Raw Data'!G31</f>
        <v/>
      </c>
      <c r="BD31" s="35">
        <f>+'실적 Raw Data'!CS31</f>
        <v/>
      </c>
      <c r="BE31" s="35">
        <f>+'실적 Raw Data'!CT31</f>
        <v/>
      </c>
      <c r="BF31" s="35">
        <f>+'실적 Raw Data'!CW31</f>
        <v/>
      </c>
      <c r="BG31" s="35">
        <f>+'실적 Raw Data'!DE31</f>
        <v/>
      </c>
      <c r="BH31" s="35">
        <f>+'실적 Raw Data'!DH31</f>
        <v/>
      </c>
      <c r="BI31" s="35">
        <f>+'실적 Raw Data'!DJ31</f>
        <v/>
      </c>
      <c r="BJ31" s="35">
        <f>+'실적 Raw Data'!DL31</f>
        <v/>
      </c>
      <c r="BK31" s="35">
        <f>SUM(BD31:BJ31)</f>
        <v/>
      </c>
      <c r="BL31" s="35">
        <f>+'실적 Raw Data'!BY31+'실적 Raw Data'!BZ31+'실적 Raw Data'!CA31+'실적 Raw Data'!CB31+'실적 Raw Data'!CC31+'실적 Raw Data'!CD31+'실적 Raw Data'!CE31+'실적 Raw Data'!CF31</f>
        <v/>
      </c>
      <c r="BM31" s="35">
        <f>+'실적 Raw Data'!CH31</f>
        <v/>
      </c>
      <c r="BN31" s="35">
        <f>'실적 Raw Data'!CR31</f>
        <v/>
      </c>
      <c r="BO31" s="35">
        <f>+'실적 Raw Data'!CU31</f>
        <v/>
      </c>
      <c r="BP31" s="35">
        <f>+BQ31-BL31-BM31-BN31-BO31</f>
        <v/>
      </c>
      <c r="BQ31" s="35">
        <f>+BR31-BK31</f>
        <v/>
      </c>
      <c r="BR31" s="35">
        <f>+'실적 Raw Data'!T31</f>
        <v/>
      </c>
      <c r="BS31" s="35">
        <f>BT31-BR31</f>
        <v/>
      </c>
      <c r="BT31" s="35">
        <f>+'실적 Raw Data'!BP31</f>
        <v/>
      </c>
      <c r="BU31" s="35">
        <f>+V31-BA31-BR31</f>
        <v/>
      </c>
      <c r="BV31" s="35">
        <f>+X31-BC31-BT31</f>
        <v/>
      </c>
      <c r="BW31" s="35">
        <f>IF(OR(LEFT(J32,1)="R", LEFT(J32,3)="QZZ"),0, '실적 Raw Data'!M31)</f>
        <v/>
      </c>
      <c r="BX31" s="35">
        <f>'실적 Raw Data'!V31</f>
        <v/>
      </c>
      <c r="BY31" s="27">
        <f>IF(OR(N32="V전지:SET",N32="V전지:set/oe"),BW31*22.9,BW31)</f>
        <v/>
      </c>
    </row>
    <row r="32">
      <c r="A32" s="19">
        <f>RIGHT('실적 Raw Data'!C32,4)&amp;"년"</f>
        <v/>
      </c>
      <c r="B32" s="19">
        <f>TRIM(MID('실적 Raw Data'!C32,9,4))</f>
        <v/>
      </c>
      <c r="C32" s="20">
        <f>IF(LEFT('실적 Raw Data'!A32,5)*1=20313,"차량",IF(LEFT('실적 Raw Data'!A32,5)*1=20314,"차량",IF(LEFT('실적 Raw Data'!A32,5)*1=20342,"산전","산전")))</f>
        <v/>
      </c>
      <c r="D32" s="19">
        <f>IF(LEFT('실적 Raw Data'!A32,5)*1=20342,"모티브",IF(LEFT('실적 Raw Data'!A32,5)*1=20345,"고정형",IF(LEFT('실적 Raw Data'!A32,5)*1=20313,"차량대리점","차량OE")))</f>
        <v/>
      </c>
      <c r="E32" s="21">
        <f>VLOOKUP($D32&amp;$H32,[1]지점코드!$A:$F,4,0)</f>
        <v/>
      </c>
      <c r="F32" s="21">
        <f>VLOOKUP($D32&amp;$H32,[1]지점코드!$A:$F,5,0)</f>
        <v/>
      </c>
      <c r="G32" s="21">
        <f>VLOOKUP($D32&amp;$H32,[1]지점코드!$A:$F,6,0)</f>
        <v/>
      </c>
      <c r="H32" s="19">
        <f>LEFT('실적 Raw Data'!E32,7)</f>
        <v/>
      </c>
      <c r="I32" s="19">
        <f>SUBSTITUTE((SUBSTITUTE('실적 Raw Data'!E32,H32,"")),"    ","")</f>
        <v/>
      </c>
      <c r="J32" s="19">
        <f>TRIM(LEFT('실적 Raw Data'!B32,11))</f>
        <v/>
      </c>
      <c r="K32" s="19">
        <f>TRIM((SUBSTITUTE('실적 Raw Data'!B32,J32,"")))</f>
        <v/>
      </c>
      <c r="L32" s="22">
        <f>IF(D32="모티브",VLOOKUP(C32&amp;J32,[1]제품분류!$A:$J,4,0),IF(D32="고정형",VLOOKUP(C32&amp;J32,[1]제품분류!$A:$J,4,0),IF(D32="차량대리점",VLOOKUP("차량대리점"&amp;J32,[1]제품분류!$A:$J,4,0),IF(D32="차량OE",VLOOKUP("차량OE"&amp;J32,[1]제품분류!$A:$J,4,0)))))</f>
        <v/>
      </c>
      <c r="M32" s="22">
        <f>IF(D32="모티브",VLOOKUP("산전"&amp;J32,[1]제품분류!$A:$J,5,0),IF(D32="고정형",VLOOKUP(C32&amp;J32,[1]제품분류!$A:$J,5,0),IF(D32="차량대리점",VLOOKUP("차량대리점"&amp;J32,[1]제품분류!$A:$J,5,0),IF(D32="차량OE", VLOOKUP(C32&amp;J32,[1]제품분류!$A:$J,5,0)))))</f>
        <v/>
      </c>
      <c r="N32" s="19">
        <f>IF(D32="모티브",VLOOKUP("산전"&amp;J32,[1]제품분류!$A:$J,6,0),IF(D32="고정형",VLOOKUP("산전"&amp;J32,[1]제품분류!$A:$J,6,0),IF(D32="차량대리점",VLOOKUP("차량대리점"&amp;J32,[1]제품분류!$A:$J,6,0))))</f>
        <v/>
      </c>
      <c r="O32" s="19">
        <f>IF(D32="모티브",VLOOKUP("산전"&amp;J32,[1]제품분류!$A:$J,7,0),IF(D32="고정형",VLOOKUP("산전"&amp;J32,[1]제품분류!$A:$J,7,0),IF(D32="차량대리점",VLOOKUP("차량대리점"&amp;J32,[1]제품분류!$A:$J,7,0),IF(D32="차량OE", VLOOKUP(D32&amp;J32,[1]제품분류!$A:$J,7,0)))))</f>
        <v/>
      </c>
      <c r="P32" s="19">
        <f>IF(D32="모티브",VLOOKUP("산전"&amp;J32,[1]제품분류!$A:$J,8,0),IF(D32="고정형",VLOOKUP("산전"&amp;J32,[1]제품분류!$A:$J,8,0),IF(D32="차량대리점",VLOOKUP("차량대리점"&amp;J32,[1]제품분류!$A:$J,8,0),IF(D32="차량OE", VLOOKUP(D32&amp;J32,[1]제품분류!$A:$J,8,0)))))</f>
        <v/>
      </c>
      <c r="Q32" s="34">
        <f>+'실적 Raw Data'!BN32</f>
        <v/>
      </c>
      <c r="R32" s="34">
        <f>+'실적 Raw Data'!BO32</f>
        <v/>
      </c>
      <c r="S32" s="34">
        <f>+T32-Q32-R32</f>
        <v/>
      </c>
      <c r="T32" s="35">
        <f>'실적 Raw Data'!H32</f>
        <v/>
      </c>
      <c r="U32" s="35">
        <f>'실적 Raw Data'!I32</f>
        <v/>
      </c>
      <c r="V32" s="35">
        <f>+'실적 Raw Data'!R32</f>
        <v/>
      </c>
      <c r="W32" s="35">
        <f>'실적 Raw Data'!J32</f>
        <v/>
      </c>
      <c r="X32" s="35">
        <f>'실적 Raw Data'!F32</f>
        <v/>
      </c>
      <c r="Y32" s="35">
        <f>+'실적 Raw Data'!AV32</f>
        <v/>
      </c>
      <c r="Z32" s="35">
        <f>+'실적 Raw Data'!AW32</f>
        <v/>
      </c>
      <c r="AA32" s="35">
        <f>+'실적 Raw Data'!AX32</f>
        <v/>
      </c>
      <c r="AB32" s="35">
        <f>+'실적 Raw Data'!AY32</f>
        <v/>
      </c>
      <c r="AC32" s="35">
        <f>+'실적 Raw Data'!AZ32</f>
        <v/>
      </c>
      <c r="AD32" s="35">
        <f>+Y32+Z32+AA32+AB32+AC32</f>
        <v/>
      </c>
      <c r="AE32" s="35">
        <f>+'실적 Raw Data'!BA32</f>
        <v/>
      </c>
      <c r="AF32" s="35">
        <f>+'실적 Raw Data'!BB32</f>
        <v/>
      </c>
      <c r="AG32" s="35">
        <f>+'실적 Raw Data'!BC32</f>
        <v/>
      </c>
      <c r="AH32" s="35">
        <f>+AE32+AF32+AG32</f>
        <v/>
      </c>
      <c r="AI32" s="35">
        <f>+'실적 Raw Data'!BD32</f>
        <v/>
      </c>
      <c r="AJ32" s="35">
        <f>+'실적 Raw Data'!BE32</f>
        <v/>
      </c>
      <c r="AK32" s="35">
        <f>+'실적 Raw Data'!BF32</f>
        <v/>
      </c>
      <c r="AL32" s="35">
        <f>+'실적 Raw Data'!BG32</f>
        <v/>
      </c>
      <c r="AM32" s="35">
        <f>+AJ32+AK32+AL32</f>
        <v/>
      </c>
      <c r="AN32" s="35">
        <f>+AD32+AH32+AI32+AM32</f>
        <v/>
      </c>
      <c r="AO32" s="35">
        <f>+'실적 Raw Data'!BH32</f>
        <v/>
      </c>
      <c r="AP32" s="36">
        <f>+'실적 Raw Data'!BJ32</f>
        <v/>
      </c>
      <c r="AQ32" s="35">
        <f>+AO32+AP32</f>
        <v/>
      </c>
      <c r="AR32" s="35">
        <f>+'실적 Raw Data'!BK32</f>
        <v/>
      </c>
      <c r="AS32" s="35">
        <f>+AQ32+AR32</f>
        <v/>
      </c>
      <c r="AT32" s="35">
        <f>+'실적 Raw Data'!BI32</f>
        <v/>
      </c>
      <c r="AU32" s="35">
        <f>+'실적 Raw Data'!BL32</f>
        <v/>
      </c>
      <c r="AV32" s="35">
        <f>+'실적 Raw Data'!BM32</f>
        <v/>
      </c>
      <c r="AW32" s="35">
        <f>SUM(AT32:AV32)</f>
        <v/>
      </c>
      <c r="AX32" s="35">
        <f>+AY32-(+AW32+AS32+AN32)+BX32</f>
        <v/>
      </c>
      <c r="AY32" s="35">
        <f>+'실적 Raw Data'!AT32</f>
        <v/>
      </c>
      <c r="AZ32" s="35">
        <f>+'실적 Raw Data'!X32+'실적 Raw Data'!Y32+'실적 Raw Data'!Z32</f>
        <v/>
      </c>
      <c r="BA32" s="35">
        <f>+'실적 Raw Data'!S32</f>
        <v/>
      </c>
      <c r="BB32" s="35">
        <f>'실적 Raw Data'!W32</f>
        <v/>
      </c>
      <c r="BC32" s="35">
        <f>+'실적 Raw Data'!G32</f>
        <v/>
      </c>
      <c r="BD32" s="35">
        <f>+'실적 Raw Data'!CS32</f>
        <v/>
      </c>
      <c r="BE32" s="35">
        <f>+'실적 Raw Data'!CT32</f>
        <v/>
      </c>
      <c r="BF32" s="35">
        <f>+'실적 Raw Data'!CW32</f>
        <v/>
      </c>
      <c r="BG32" s="35">
        <f>+'실적 Raw Data'!DE32</f>
        <v/>
      </c>
      <c r="BH32" s="35">
        <f>+'실적 Raw Data'!DH32</f>
        <v/>
      </c>
      <c r="BI32" s="35">
        <f>+'실적 Raw Data'!DJ32</f>
        <v/>
      </c>
      <c r="BJ32" s="35">
        <f>+'실적 Raw Data'!DL32</f>
        <v/>
      </c>
      <c r="BK32" s="35">
        <f>SUM(BD32:BJ32)</f>
        <v/>
      </c>
      <c r="BL32" s="35">
        <f>+'실적 Raw Data'!BY32+'실적 Raw Data'!BZ32+'실적 Raw Data'!CA32+'실적 Raw Data'!CB32+'실적 Raw Data'!CC32+'실적 Raw Data'!CD32+'실적 Raw Data'!CE32+'실적 Raw Data'!CF32</f>
        <v/>
      </c>
      <c r="BM32" s="35">
        <f>+'실적 Raw Data'!CH32</f>
        <v/>
      </c>
      <c r="BN32" s="35">
        <f>'실적 Raw Data'!CR32</f>
        <v/>
      </c>
      <c r="BO32" s="35">
        <f>+'실적 Raw Data'!CU32</f>
        <v/>
      </c>
      <c r="BP32" s="35">
        <f>+BQ32-BL32-BM32-BN32-BO32</f>
        <v/>
      </c>
      <c r="BQ32" s="35">
        <f>+BR32-BK32</f>
        <v/>
      </c>
      <c r="BR32" s="35">
        <f>+'실적 Raw Data'!T32</f>
        <v/>
      </c>
      <c r="BS32" s="35">
        <f>BT32-BR32</f>
        <v/>
      </c>
      <c r="BT32" s="35">
        <f>+'실적 Raw Data'!BP32</f>
        <v/>
      </c>
      <c r="BU32" s="35">
        <f>+V32-BA32-BR32</f>
        <v/>
      </c>
      <c r="BV32" s="35">
        <f>+X32-BC32-BT32</f>
        <v/>
      </c>
      <c r="BW32" s="35">
        <f>IF(OR(LEFT(J33,1)="R", LEFT(J33,3)="QZZ"),0, '실적 Raw Data'!M32)</f>
        <v/>
      </c>
      <c r="BX32" s="35">
        <f>'실적 Raw Data'!V32</f>
        <v/>
      </c>
      <c r="BY32" s="27">
        <f>IF(OR(N33="V전지:SET",N33="V전지:set/oe"),BW32*22.9,BW32)</f>
        <v/>
      </c>
    </row>
    <row r="33">
      <c r="A33" s="19">
        <f>RIGHT('실적 Raw Data'!C33,4)&amp;"년"</f>
        <v/>
      </c>
      <c r="B33" s="19">
        <f>TRIM(MID('실적 Raw Data'!C33,9,4))</f>
        <v/>
      </c>
      <c r="C33" s="20">
        <f>IF(LEFT('실적 Raw Data'!A33,5)*1=20313,"차량",IF(LEFT('실적 Raw Data'!A33,5)*1=20314,"차량",IF(LEFT('실적 Raw Data'!A33,5)*1=20342,"산전","산전")))</f>
        <v/>
      </c>
      <c r="D33" s="19">
        <f>IF(LEFT('실적 Raw Data'!A33,5)*1=20342,"모티브",IF(LEFT('실적 Raw Data'!A33,5)*1=20345,"고정형",IF(LEFT('실적 Raw Data'!A33,5)*1=20313,"차량대리점","차량OE")))</f>
        <v/>
      </c>
      <c r="E33" s="21">
        <f>VLOOKUP($D33&amp;$H33,[1]지점코드!$A:$F,4,0)</f>
        <v/>
      </c>
      <c r="F33" s="21">
        <f>VLOOKUP($D33&amp;$H33,[1]지점코드!$A:$F,5,0)</f>
        <v/>
      </c>
      <c r="G33" s="21">
        <f>VLOOKUP($D33&amp;$H33,[1]지점코드!$A:$F,6,0)</f>
        <v/>
      </c>
      <c r="H33" s="19">
        <f>LEFT('실적 Raw Data'!E33,7)</f>
        <v/>
      </c>
      <c r="I33" s="19">
        <f>SUBSTITUTE((SUBSTITUTE('실적 Raw Data'!E33,H33,"")),"    ","")</f>
        <v/>
      </c>
      <c r="J33" s="19">
        <f>TRIM(LEFT('실적 Raw Data'!B33,11))</f>
        <v/>
      </c>
      <c r="K33" s="19">
        <f>TRIM((SUBSTITUTE('실적 Raw Data'!B33,J33,"")))</f>
        <v/>
      </c>
      <c r="L33" s="22">
        <f>IF(D33="모티브",VLOOKUP(C33&amp;J33,[1]제품분류!$A:$J,4,0),IF(D33="고정형",VLOOKUP(C33&amp;J33,[1]제품분류!$A:$J,4,0),IF(D33="차량대리점",VLOOKUP("차량대리점"&amp;J33,[1]제품분류!$A:$J,4,0),IF(D33="차량OE",VLOOKUP("차량OE"&amp;J33,[1]제품분류!$A:$J,4,0)))))</f>
        <v/>
      </c>
      <c r="M33" s="22">
        <f>IF(D33="모티브",VLOOKUP("산전"&amp;J33,[1]제품분류!$A:$J,5,0),IF(D33="고정형",VLOOKUP(C33&amp;J33,[1]제품분류!$A:$J,5,0),IF(D33="차량대리점",VLOOKUP("차량대리점"&amp;J33,[1]제품분류!$A:$J,5,0),IF(D33="차량OE", VLOOKUP(C33&amp;J33,[1]제품분류!$A:$J,5,0)))))</f>
        <v/>
      </c>
      <c r="N33" s="19">
        <f>IF(D33="모티브",VLOOKUP("산전"&amp;J33,[1]제품분류!$A:$J,6,0),IF(D33="고정형",VLOOKUP("산전"&amp;J33,[1]제품분류!$A:$J,6,0),IF(D33="차량대리점",VLOOKUP("차량대리점"&amp;J33,[1]제품분류!$A:$J,6,0))))</f>
        <v/>
      </c>
      <c r="O33" s="19">
        <f>IF(D33="모티브",VLOOKUP("산전"&amp;J33,[1]제품분류!$A:$J,7,0),IF(D33="고정형",VLOOKUP("산전"&amp;J33,[1]제품분류!$A:$J,7,0),IF(D33="차량대리점",VLOOKUP("차량대리점"&amp;J33,[1]제품분류!$A:$J,7,0),IF(D33="차량OE", VLOOKUP(D33&amp;J33,[1]제품분류!$A:$J,7,0)))))</f>
        <v/>
      </c>
      <c r="P33" s="19">
        <f>IF(D33="모티브",VLOOKUP("산전"&amp;J33,[1]제품분류!$A:$J,8,0),IF(D33="고정형",VLOOKUP("산전"&amp;J33,[1]제품분류!$A:$J,8,0),IF(D33="차량대리점",VLOOKUP("차량대리점"&amp;J33,[1]제품분류!$A:$J,8,0),IF(D33="차량OE", VLOOKUP(D33&amp;J33,[1]제품분류!$A:$J,8,0)))))</f>
        <v/>
      </c>
      <c r="Q33" s="34">
        <f>+'실적 Raw Data'!BN33</f>
        <v/>
      </c>
      <c r="R33" s="34">
        <f>+'실적 Raw Data'!BO33</f>
        <v/>
      </c>
      <c r="S33" s="34">
        <f>+T33-Q33-R33</f>
        <v/>
      </c>
      <c r="T33" s="35">
        <f>'실적 Raw Data'!H33</f>
        <v/>
      </c>
      <c r="U33" s="35">
        <f>'실적 Raw Data'!I33</f>
        <v/>
      </c>
      <c r="V33" s="35">
        <f>+'실적 Raw Data'!R33</f>
        <v/>
      </c>
      <c r="W33" s="35">
        <f>'실적 Raw Data'!J33</f>
        <v/>
      </c>
      <c r="X33" s="35">
        <f>'실적 Raw Data'!F33</f>
        <v/>
      </c>
      <c r="Y33" s="35">
        <f>+'실적 Raw Data'!AV33</f>
        <v/>
      </c>
      <c r="Z33" s="35">
        <f>+'실적 Raw Data'!AW33</f>
        <v/>
      </c>
      <c r="AA33" s="35">
        <f>+'실적 Raw Data'!AX33</f>
        <v/>
      </c>
      <c r="AB33" s="35">
        <f>+'실적 Raw Data'!AY33</f>
        <v/>
      </c>
      <c r="AC33" s="35">
        <f>+'실적 Raw Data'!AZ33</f>
        <v/>
      </c>
      <c r="AD33" s="35">
        <f>+Y33+Z33+AA33+AB33+AC33</f>
        <v/>
      </c>
      <c r="AE33" s="35">
        <f>+'실적 Raw Data'!BA33</f>
        <v/>
      </c>
      <c r="AF33" s="35">
        <f>+'실적 Raw Data'!BB33</f>
        <v/>
      </c>
      <c r="AG33" s="35">
        <f>+'실적 Raw Data'!BC33</f>
        <v/>
      </c>
      <c r="AH33" s="35">
        <f>+AE33+AF33+AG33</f>
        <v/>
      </c>
      <c r="AI33" s="35">
        <f>+'실적 Raw Data'!BD33</f>
        <v/>
      </c>
      <c r="AJ33" s="35">
        <f>+'실적 Raw Data'!BE33</f>
        <v/>
      </c>
      <c r="AK33" s="35">
        <f>+'실적 Raw Data'!BF33</f>
        <v/>
      </c>
      <c r="AL33" s="35">
        <f>+'실적 Raw Data'!BG33</f>
        <v/>
      </c>
      <c r="AM33" s="35">
        <f>+AJ33+AK33+AL33</f>
        <v/>
      </c>
      <c r="AN33" s="35">
        <f>+AD33+AH33+AI33+AM33</f>
        <v/>
      </c>
      <c r="AO33" s="35">
        <f>+'실적 Raw Data'!BH33</f>
        <v/>
      </c>
      <c r="AP33" s="36">
        <f>+'실적 Raw Data'!BJ33</f>
        <v/>
      </c>
      <c r="AQ33" s="35">
        <f>+AO33+AP33</f>
        <v/>
      </c>
      <c r="AR33" s="35">
        <f>+'실적 Raw Data'!BK33</f>
        <v/>
      </c>
      <c r="AS33" s="35">
        <f>+AQ33+AR33</f>
        <v/>
      </c>
      <c r="AT33" s="35">
        <f>+'실적 Raw Data'!BI33</f>
        <v/>
      </c>
      <c r="AU33" s="35">
        <f>+'실적 Raw Data'!BL33</f>
        <v/>
      </c>
      <c r="AV33" s="35">
        <f>+'실적 Raw Data'!BM33</f>
        <v/>
      </c>
      <c r="AW33" s="35">
        <f>SUM(AT33:AV33)</f>
        <v/>
      </c>
      <c r="AX33" s="35">
        <f>+AY33-(+AW33+AS33+AN33)+BX33</f>
        <v/>
      </c>
      <c r="AY33" s="35">
        <f>+'실적 Raw Data'!AT33</f>
        <v/>
      </c>
      <c r="AZ33" s="35">
        <f>+'실적 Raw Data'!X33+'실적 Raw Data'!Y33+'실적 Raw Data'!Z33</f>
        <v/>
      </c>
      <c r="BA33" s="35">
        <f>+'실적 Raw Data'!S33</f>
        <v/>
      </c>
      <c r="BB33" s="35">
        <f>'실적 Raw Data'!W33</f>
        <v/>
      </c>
      <c r="BC33" s="35">
        <f>+'실적 Raw Data'!G33</f>
        <v/>
      </c>
      <c r="BD33" s="35">
        <f>+'실적 Raw Data'!CS33</f>
        <v/>
      </c>
      <c r="BE33" s="35">
        <f>+'실적 Raw Data'!CT33</f>
        <v/>
      </c>
      <c r="BF33" s="35">
        <f>+'실적 Raw Data'!CW33</f>
        <v/>
      </c>
      <c r="BG33" s="35">
        <f>+'실적 Raw Data'!DE33</f>
        <v/>
      </c>
      <c r="BH33" s="35">
        <f>+'실적 Raw Data'!DH33</f>
        <v/>
      </c>
      <c r="BI33" s="35">
        <f>+'실적 Raw Data'!DJ33</f>
        <v/>
      </c>
      <c r="BJ33" s="35">
        <f>+'실적 Raw Data'!DL33</f>
        <v/>
      </c>
      <c r="BK33" s="35">
        <f>SUM(BD33:BJ33)</f>
        <v/>
      </c>
      <c r="BL33" s="35">
        <f>+'실적 Raw Data'!BY33+'실적 Raw Data'!BZ33+'실적 Raw Data'!CA33+'실적 Raw Data'!CB33+'실적 Raw Data'!CC33+'실적 Raw Data'!CD33+'실적 Raw Data'!CE33+'실적 Raw Data'!CF33</f>
        <v/>
      </c>
      <c r="BM33" s="35">
        <f>+'실적 Raw Data'!CH33</f>
        <v/>
      </c>
      <c r="BN33" s="35">
        <f>'실적 Raw Data'!CR33</f>
        <v/>
      </c>
      <c r="BO33" s="35">
        <f>+'실적 Raw Data'!CU33</f>
        <v/>
      </c>
      <c r="BP33" s="35">
        <f>+BQ33-BL33-BM33-BN33-BO33</f>
        <v/>
      </c>
      <c r="BQ33" s="35">
        <f>+BR33-BK33</f>
        <v/>
      </c>
      <c r="BR33" s="35">
        <f>+'실적 Raw Data'!T33</f>
        <v/>
      </c>
      <c r="BS33" s="35">
        <f>BT33-BR33</f>
        <v/>
      </c>
      <c r="BT33" s="35">
        <f>+'실적 Raw Data'!BP33</f>
        <v/>
      </c>
      <c r="BU33" s="35">
        <f>+V33-BA33-BR33</f>
        <v/>
      </c>
      <c r="BV33" s="35">
        <f>+X33-BC33-BT33</f>
        <v/>
      </c>
      <c r="BW33" s="35">
        <f>IF(OR(LEFT(J34,1)="R", LEFT(J34,3)="QZZ"),0, '실적 Raw Data'!M33)</f>
        <v/>
      </c>
      <c r="BX33" s="35">
        <f>'실적 Raw Data'!V33</f>
        <v/>
      </c>
      <c r="BY33" s="27">
        <f>IF(OR(N34="V전지:SET",N34="V전지:set/oe"),BW33*22.9,BW33)</f>
        <v/>
      </c>
    </row>
    <row r="34">
      <c r="A34" s="19">
        <f>RIGHT('실적 Raw Data'!C34,4)&amp;"년"</f>
        <v/>
      </c>
      <c r="B34" s="19">
        <f>TRIM(MID('실적 Raw Data'!C34,9,4))</f>
        <v/>
      </c>
      <c r="C34" s="20">
        <f>IF(LEFT('실적 Raw Data'!A34,5)*1=20313,"차량",IF(LEFT('실적 Raw Data'!A34,5)*1=20314,"차량",IF(LEFT('실적 Raw Data'!A34,5)*1=20342,"산전","산전")))</f>
        <v/>
      </c>
      <c r="D34" s="19">
        <f>IF(LEFT('실적 Raw Data'!A34,5)*1=20342,"모티브",IF(LEFT('실적 Raw Data'!A34,5)*1=20345,"고정형",IF(LEFT('실적 Raw Data'!A34,5)*1=20313,"차량대리점","차량OE")))</f>
        <v/>
      </c>
      <c r="E34" s="21">
        <f>VLOOKUP($D34&amp;$H34,[1]지점코드!$A:$F,4,0)</f>
        <v/>
      </c>
      <c r="F34" s="21">
        <f>VLOOKUP($D34&amp;$H34,[1]지점코드!$A:$F,5,0)</f>
        <v/>
      </c>
      <c r="G34" s="21">
        <f>VLOOKUP($D34&amp;$H34,[1]지점코드!$A:$F,6,0)</f>
        <v/>
      </c>
      <c r="H34" s="19">
        <f>LEFT('실적 Raw Data'!E34,7)</f>
        <v/>
      </c>
      <c r="I34" s="19">
        <f>SUBSTITUTE((SUBSTITUTE('실적 Raw Data'!E34,H34,"")),"    ","")</f>
        <v/>
      </c>
      <c r="J34" s="19">
        <f>TRIM(LEFT('실적 Raw Data'!B34,11))</f>
        <v/>
      </c>
      <c r="K34" s="19">
        <f>TRIM((SUBSTITUTE('실적 Raw Data'!B34,J34,"")))</f>
        <v/>
      </c>
      <c r="L34" s="22">
        <f>IF(D34="모티브",VLOOKUP(C34&amp;J34,[1]제품분류!$A:$J,4,0),IF(D34="고정형",VLOOKUP(C34&amp;J34,[1]제품분류!$A:$J,4,0),IF(D34="차량대리점",VLOOKUP("차량대리점"&amp;J34,[1]제품분류!$A:$J,4,0),IF(D34="차량OE",VLOOKUP("차량OE"&amp;J34,[1]제품분류!$A:$J,4,0)))))</f>
        <v/>
      </c>
      <c r="M34" s="22">
        <f>IF(D34="모티브",VLOOKUP("산전"&amp;J34,[1]제품분류!$A:$J,5,0),IF(D34="고정형",VLOOKUP(C34&amp;J34,[1]제품분류!$A:$J,5,0),IF(D34="차량대리점",VLOOKUP("차량대리점"&amp;J34,[1]제품분류!$A:$J,5,0),IF(D34="차량OE", VLOOKUP(C34&amp;J34,[1]제품분류!$A:$J,5,0)))))</f>
        <v/>
      </c>
      <c r="N34" s="19">
        <f>IF(D34="모티브",VLOOKUP("산전"&amp;J34,[1]제품분류!$A:$J,6,0),IF(D34="고정형",VLOOKUP("산전"&amp;J34,[1]제품분류!$A:$J,6,0),IF(D34="차량대리점",VLOOKUP("차량대리점"&amp;J34,[1]제품분류!$A:$J,6,0))))</f>
        <v/>
      </c>
      <c r="O34" s="19">
        <f>IF(D34="모티브",VLOOKUP("산전"&amp;J34,[1]제품분류!$A:$J,7,0),IF(D34="고정형",VLOOKUP("산전"&amp;J34,[1]제품분류!$A:$J,7,0),IF(D34="차량대리점",VLOOKUP("차량대리점"&amp;J34,[1]제품분류!$A:$J,7,0),IF(D34="차량OE", VLOOKUP(D34&amp;J34,[1]제품분류!$A:$J,7,0)))))</f>
        <v/>
      </c>
      <c r="P34" s="19">
        <f>IF(D34="모티브",VLOOKUP("산전"&amp;J34,[1]제품분류!$A:$J,8,0),IF(D34="고정형",VLOOKUP("산전"&amp;J34,[1]제품분류!$A:$J,8,0),IF(D34="차량대리점",VLOOKUP("차량대리점"&amp;J34,[1]제품분류!$A:$J,8,0),IF(D34="차량OE", VLOOKUP(D34&amp;J34,[1]제품분류!$A:$J,8,0)))))</f>
        <v/>
      </c>
      <c r="Q34" s="34">
        <f>+'실적 Raw Data'!BN34</f>
        <v/>
      </c>
      <c r="R34" s="34">
        <f>+'실적 Raw Data'!BO34</f>
        <v/>
      </c>
      <c r="S34" s="34">
        <f>+T34-Q34-R34</f>
        <v/>
      </c>
      <c r="T34" s="35">
        <f>'실적 Raw Data'!H34</f>
        <v/>
      </c>
      <c r="U34" s="35">
        <f>'실적 Raw Data'!I34</f>
        <v/>
      </c>
      <c r="V34" s="35">
        <f>+'실적 Raw Data'!R34</f>
        <v/>
      </c>
      <c r="W34" s="35">
        <f>'실적 Raw Data'!J34</f>
        <v/>
      </c>
      <c r="X34" s="35">
        <f>'실적 Raw Data'!F34</f>
        <v/>
      </c>
      <c r="Y34" s="35">
        <f>+'실적 Raw Data'!AV34</f>
        <v/>
      </c>
      <c r="Z34" s="35">
        <f>+'실적 Raw Data'!AW34</f>
        <v/>
      </c>
      <c r="AA34" s="35">
        <f>+'실적 Raw Data'!AX34</f>
        <v/>
      </c>
      <c r="AB34" s="35">
        <f>+'실적 Raw Data'!AY34</f>
        <v/>
      </c>
      <c r="AC34" s="35">
        <f>+'실적 Raw Data'!AZ34</f>
        <v/>
      </c>
      <c r="AD34" s="35">
        <f>+Y34+Z34+AA34+AB34+AC34</f>
        <v/>
      </c>
      <c r="AE34" s="35">
        <f>+'실적 Raw Data'!BA34</f>
        <v/>
      </c>
      <c r="AF34" s="35">
        <f>+'실적 Raw Data'!BB34</f>
        <v/>
      </c>
      <c r="AG34" s="35">
        <f>+'실적 Raw Data'!BC34</f>
        <v/>
      </c>
      <c r="AH34" s="35">
        <f>+AE34+AF34+AG34</f>
        <v/>
      </c>
      <c r="AI34" s="35">
        <f>+'실적 Raw Data'!BD34</f>
        <v/>
      </c>
      <c r="AJ34" s="35">
        <f>+'실적 Raw Data'!BE34</f>
        <v/>
      </c>
      <c r="AK34" s="35">
        <f>+'실적 Raw Data'!BF34</f>
        <v/>
      </c>
      <c r="AL34" s="35">
        <f>+'실적 Raw Data'!BG34</f>
        <v/>
      </c>
      <c r="AM34" s="35">
        <f>+AJ34+AK34+AL34</f>
        <v/>
      </c>
      <c r="AN34" s="35">
        <f>+AD34+AH34+AI34+AM34</f>
        <v/>
      </c>
      <c r="AO34" s="35">
        <f>+'실적 Raw Data'!BH34</f>
        <v/>
      </c>
      <c r="AP34" s="36">
        <f>+'실적 Raw Data'!BJ34</f>
        <v/>
      </c>
      <c r="AQ34" s="35">
        <f>+AO34+AP34</f>
        <v/>
      </c>
      <c r="AR34" s="35">
        <f>+'실적 Raw Data'!BK34</f>
        <v/>
      </c>
      <c r="AS34" s="35">
        <f>+AQ34+AR34</f>
        <v/>
      </c>
      <c r="AT34" s="35">
        <f>+'실적 Raw Data'!BI34</f>
        <v/>
      </c>
      <c r="AU34" s="35">
        <f>+'실적 Raw Data'!BL34</f>
        <v/>
      </c>
      <c r="AV34" s="35">
        <f>+'실적 Raw Data'!BM34</f>
        <v/>
      </c>
      <c r="AW34" s="35">
        <f>SUM(AT34:AV34)</f>
        <v/>
      </c>
      <c r="AX34" s="35">
        <f>+AY34-(+AW34+AS34+AN34)+BX34</f>
        <v/>
      </c>
      <c r="AY34" s="35">
        <f>+'실적 Raw Data'!AT34</f>
        <v/>
      </c>
      <c r="AZ34" s="35">
        <f>+'실적 Raw Data'!X34+'실적 Raw Data'!Y34+'실적 Raw Data'!Z34</f>
        <v/>
      </c>
      <c r="BA34" s="35">
        <f>+'실적 Raw Data'!S34</f>
        <v/>
      </c>
      <c r="BB34" s="35">
        <f>'실적 Raw Data'!W34</f>
        <v/>
      </c>
      <c r="BC34" s="35">
        <f>+'실적 Raw Data'!G34</f>
        <v/>
      </c>
      <c r="BD34" s="35">
        <f>+'실적 Raw Data'!CS34</f>
        <v/>
      </c>
      <c r="BE34" s="35">
        <f>+'실적 Raw Data'!CT34</f>
        <v/>
      </c>
      <c r="BF34" s="35">
        <f>+'실적 Raw Data'!CW34</f>
        <v/>
      </c>
      <c r="BG34" s="35">
        <f>+'실적 Raw Data'!DE34</f>
        <v/>
      </c>
      <c r="BH34" s="35">
        <f>+'실적 Raw Data'!DH34</f>
        <v/>
      </c>
      <c r="BI34" s="35">
        <f>+'실적 Raw Data'!DJ34</f>
        <v/>
      </c>
      <c r="BJ34" s="35">
        <f>+'실적 Raw Data'!DL34</f>
        <v/>
      </c>
      <c r="BK34" s="35">
        <f>SUM(BD34:BJ34)</f>
        <v/>
      </c>
      <c r="BL34" s="35">
        <f>+'실적 Raw Data'!BY34+'실적 Raw Data'!BZ34+'실적 Raw Data'!CA34+'실적 Raw Data'!CB34+'실적 Raw Data'!CC34+'실적 Raw Data'!CD34+'실적 Raw Data'!CE34+'실적 Raw Data'!CF34</f>
        <v/>
      </c>
      <c r="BM34" s="35">
        <f>+'실적 Raw Data'!CH34</f>
        <v/>
      </c>
      <c r="BN34" s="35">
        <f>'실적 Raw Data'!CR34</f>
        <v/>
      </c>
      <c r="BO34" s="35">
        <f>+'실적 Raw Data'!CU34</f>
        <v/>
      </c>
      <c r="BP34" s="35">
        <f>+BQ34-BL34-BM34-BN34-BO34</f>
        <v/>
      </c>
      <c r="BQ34" s="35">
        <f>+BR34-BK34</f>
        <v/>
      </c>
      <c r="BR34" s="35">
        <f>+'실적 Raw Data'!T34</f>
        <v/>
      </c>
      <c r="BS34" s="35">
        <f>BT34-BR34</f>
        <v/>
      </c>
      <c r="BT34" s="35">
        <f>+'실적 Raw Data'!BP34</f>
        <v/>
      </c>
      <c r="BU34" s="35">
        <f>+V34-BA34-BR34</f>
        <v/>
      </c>
      <c r="BV34" s="35">
        <f>+X34-BC34-BT34</f>
        <v/>
      </c>
      <c r="BW34" s="35">
        <f>IF(OR(LEFT(J35,1)="R", LEFT(J35,3)="QZZ"),0, '실적 Raw Data'!M34)</f>
        <v/>
      </c>
      <c r="BX34" s="35">
        <f>'실적 Raw Data'!V34</f>
        <v/>
      </c>
      <c r="BY34" s="27">
        <f>IF(OR(N35="V전지:SET",N35="V전지:set/oe"),BW34*22.9,BW34)</f>
        <v/>
      </c>
    </row>
    <row r="35">
      <c r="A35" s="19">
        <f>RIGHT('실적 Raw Data'!C35,4)&amp;"년"</f>
        <v/>
      </c>
      <c r="B35" s="19">
        <f>TRIM(MID('실적 Raw Data'!C35,9,4))</f>
        <v/>
      </c>
      <c r="C35" s="20">
        <f>IF(LEFT('실적 Raw Data'!A35,5)*1=20313,"차량",IF(LEFT('실적 Raw Data'!A35,5)*1=20314,"차량",IF(LEFT('실적 Raw Data'!A35,5)*1=20342,"산전","산전")))</f>
        <v/>
      </c>
      <c r="D35" s="19">
        <f>IF(LEFT('실적 Raw Data'!A35,5)*1=20342,"모티브",IF(LEFT('실적 Raw Data'!A35,5)*1=20345,"고정형",IF(LEFT('실적 Raw Data'!A35,5)*1=20313,"차량대리점","차량OE")))</f>
        <v/>
      </c>
      <c r="E35" s="21">
        <f>VLOOKUP($D35&amp;$H35,[1]지점코드!$A:$F,4,0)</f>
        <v/>
      </c>
      <c r="F35" s="21">
        <f>VLOOKUP($D35&amp;$H35,[1]지점코드!$A:$F,5,0)</f>
        <v/>
      </c>
      <c r="G35" s="21">
        <f>VLOOKUP($D35&amp;$H35,[1]지점코드!$A:$F,6,0)</f>
        <v/>
      </c>
      <c r="H35" s="19">
        <f>LEFT('실적 Raw Data'!E35,7)</f>
        <v/>
      </c>
      <c r="I35" s="19">
        <f>SUBSTITUTE((SUBSTITUTE('실적 Raw Data'!E35,H35,"")),"    ","")</f>
        <v/>
      </c>
      <c r="J35" s="19">
        <f>TRIM(LEFT('실적 Raw Data'!B35,11))</f>
        <v/>
      </c>
      <c r="K35" s="19">
        <f>TRIM((SUBSTITUTE('실적 Raw Data'!B35,J35,"")))</f>
        <v/>
      </c>
      <c r="L35" s="22">
        <f>IF(D35="모티브",VLOOKUP(C35&amp;J35,[1]제품분류!$A:$J,4,0),IF(D35="고정형",VLOOKUP(C35&amp;J35,[1]제품분류!$A:$J,4,0),IF(D35="차량대리점",VLOOKUP("차량대리점"&amp;J35,[1]제품분류!$A:$J,4,0),IF(D35="차량OE",VLOOKUP("차량OE"&amp;J35,[1]제품분류!$A:$J,4,0)))))</f>
        <v/>
      </c>
      <c r="M35" s="22">
        <f>IF(D35="모티브",VLOOKUP("산전"&amp;J35,[1]제품분류!$A:$J,5,0),IF(D35="고정형",VLOOKUP(C35&amp;J35,[1]제품분류!$A:$J,5,0),IF(D35="차량대리점",VLOOKUP("차량대리점"&amp;J35,[1]제품분류!$A:$J,5,0),IF(D35="차량OE", VLOOKUP(C35&amp;J35,[1]제품분류!$A:$J,5,0)))))</f>
        <v/>
      </c>
      <c r="N35" s="19">
        <f>IF(D35="모티브",VLOOKUP("산전"&amp;J35,[1]제품분류!$A:$J,6,0),IF(D35="고정형",VLOOKUP("산전"&amp;J35,[1]제품분류!$A:$J,6,0),IF(D35="차량대리점",VLOOKUP("차량대리점"&amp;J35,[1]제품분류!$A:$J,6,0))))</f>
        <v/>
      </c>
      <c r="O35" s="19">
        <f>IF(D35="모티브",VLOOKUP("산전"&amp;J35,[1]제품분류!$A:$J,7,0),IF(D35="고정형",VLOOKUP("산전"&amp;J35,[1]제품분류!$A:$J,7,0),IF(D35="차량대리점",VLOOKUP("차량대리점"&amp;J35,[1]제품분류!$A:$J,7,0),IF(D35="차량OE", VLOOKUP(D35&amp;J35,[1]제품분류!$A:$J,7,0)))))</f>
        <v/>
      </c>
      <c r="P35" s="19">
        <f>IF(D35="모티브",VLOOKUP("산전"&amp;J35,[1]제품분류!$A:$J,8,0),IF(D35="고정형",VLOOKUP("산전"&amp;J35,[1]제품분류!$A:$J,8,0),IF(D35="차량대리점",VLOOKUP("차량대리점"&amp;J35,[1]제품분류!$A:$J,8,0),IF(D35="차량OE", VLOOKUP(D35&amp;J35,[1]제품분류!$A:$J,8,0)))))</f>
        <v/>
      </c>
      <c r="Q35" s="34">
        <f>+'실적 Raw Data'!BN35</f>
        <v/>
      </c>
      <c r="R35" s="34">
        <f>+'실적 Raw Data'!BO35</f>
        <v/>
      </c>
      <c r="S35" s="34">
        <f>+T35-Q35-R35</f>
        <v/>
      </c>
      <c r="T35" s="35">
        <f>'실적 Raw Data'!H35</f>
        <v/>
      </c>
      <c r="U35" s="35">
        <f>'실적 Raw Data'!I35</f>
        <v/>
      </c>
      <c r="V35" s="35">
        <f>+'실적 Raw Data'!R35</f>
        <v/>
      </c>
      <c r="W35" s="35">
        <f>'실적 Raw Data'!J35</f>
        <v/>
      </c>
      <c r="X35" s="35">
        <f>'실적 Raw Data'!F35</f>
        <v/>
      </c>
      <c r="Y35" s="35">
        <f>+'실적 Raw Data'!AV35</f>
        <v/>
      </c>
      <c r="Z35" s="35">
        <f>+'실적 Raw Data'!AW35</f>
        <v/>
      </c>
      <c r="AA35" s="35">
        <f>+'실적 Raw Data'!AX35</f>
        <v/>
      </c>
      <c r="AB35" s="35">
        <f>+'실적 Raw Data'!AY35</f>
        <v/>
      </c>
      <c r="AC35" s="35">
        <f>+'실적 Raw Data'!AZ35</f>
        <v/>
      </c>
      <c r="AD35" s="35">
        <f>+Y35+Z35+AA35+AB35+AC35</f>
        <v/>
      </c>
      <c r="AE35" s="35">
        <f>+'실적 Raw Data'!BA35</f>
        <v/>
      </c>
      <c r="AF35" s="35">
        <f>+'실적 Raw Data'!BB35</f>
        <v/>
      </c>
      <c r="AG35" s="35">
        <f>+'실적 Raw Data'!BC35</f>
        <v/>
      </c>
      <c r="AH35" s="35">
        <f>+AE35+AF35+AG35</f>
        <v/>
      </c>
      <c r="AI35" s="35">
        <f>+'실적 Raw Data'!BD35</f>
        <v/>
      </c>
      <c r="AJ35" s="35">
        <f>+'실적 Raw Data'!BE35</f>
        <v/>
      </c>
      <c r="AK35" s="35">
        <f>+'실적 Raw Data'!BF35</f>
        <v/>
      </c>
      <c r="AL35" s="35">
        <f>+'실적 Raw Data'!BG35</f>
        <v/>
      </c>
      <c r="AM35" s="35">
        <f>+AJ35+AK35+AL35</f>
        <v/>
      </c>
      <c r="AN35" s="35">
        <f>+AD35+AH35+AI35+AM35</f>
        <v/>
      </c>
      <c r="AO35" s="35">
        <f>+'실적 Raw Data'!BH35</f>
        <v/>
      </c>
      <c r="AP35" s="36">
        <f>+'실적 Raw Data'!BJ35</f>
        <v/>
      </c>
      <c r="AQ35" s="35">
        <f>+AO35+AP35</f>
        <v/>
      </c>
      <c r="AR35" s="35">
        <f>+'실적 Raw Data'!BK35</f>
        <v/>
      </c>
      <c r="AS35" s="35">
        <f>+AQ35+AR35</f>
        <v/>
      </c>
      <c r="AT35" s="35">
        <f>+'실적 Raw Data'!BI35</f>
        <v/>
      </c>
      <c r="AU35" s="35">
        <f>+'실적 Raw Data'!BL35</f>
        <v/>
      </c>
      <c r="AV35" s="35">
        <f>+'실적 Raw Data'!BM35</f>
        <v/>
      </c>
      <c r="AW35" s="35">
        <f>SUM(AT35:AV35)</f>
        <v/>
      </c>
      <c r="AX35" s="35">
        <f>+AY35-(+AW35+AS35+AN35)+BX35</f>
        <v/>
      </c>
      <c r="AY35" s="35">
        <f>+'실적 Raw Data'!AT35</f>
        <v/>
      </c>
      <c r="AZ35" s="35">
        <f>+'실적 Raw Data'!X35+'실적 Raw Data'!Y35+'실적 Raw Data'!Z35</f>
        <v/>
      </c>
      <c r="BA35" s="35">
        <f>+'실적 Raw Data'!S35</f>
        <v/>
      </c>
      <c r="BB35" s="35">
        <f>'실적 Raw Data'!W35</f>
        <v/>
      </c>
      <c r="BC35" s="35">
        <f>+'실적 Raw Data'!G35</f>
        <v/>
      </c>
      <c r="BD35" s="35">
        <f>+'실적 Raw Data'!CS35</f>
        <v/>
      </c>
      <c r="BE35" s="35">
        <f>+'실적 Raw Data'!CT35</f>
        <v/>
      </c>
      <c r="BF35" s="35">
        <f>+'실적 Raw Data'!CW35</f>
        <v/>
      </c>
      <c r="BG35" s="35">
        <f>+'실적 Raw Data'!DE35</f>
        <v/>
      </c>
      <c r="BH35" s="35">
        <f>+'실적 Raw Data'!DH35</f>
        <v/>
      </c>
      <c r="BI35" s="35">
        <f>+'실적 Raw Data'!DJ35</f>
        <v/>
      </c>
      <c r="BJ35" s="35">
        <f>+'실적 Raw Data'!DL35</f>
        <v/>
      </c>
      <c r="BK35" s="35">
        <f>SUM(BD35:BJ35)</f>
        <v/>
      </c>
      <c r="BL35" s="35">
        <f>+'실적 Raw Data'!BY35+'실적 Raw Data'!BZ35+'실적 Raw Data'!CA35+'실적 Raw Data'!CB35+'실적 Raw Data'!CC35+'실적 Raw Data'!CD35+'실적 Raw Data'!CE35+'실적 Raw Data'!CF35</f>
        <v/>
      </c>
      <c r="BM35" s="35">
        <f>+'실적 Raw Data'!CH35</f>
        <v/>
      </c>
      <c r="BN35" s="35">
        <f>'실적 Raw Data'!CR35</f>
        <v/>
      </c>
      <c r="BO35" s="35">
        <f>+'실적 Raw Data'!CU35</f>
        <v/>
      </c>
      <c r="BP35" s="35">
        <f>+BQ35-BL35-BM35-BN35-BO35</f>
        <v/>
      </c>
      <c r="BQ35" s="35">
        <f>+BR35-BK35</f>
        <v/>
      </c>
      <c r="BR35" s="35">
        <f>+'실적 Raw Data'!T35</f>
        <v/>
      </c>
      <c r="BS35" s="35">
        <f>BT35-BR35</f>
        <v/>
      </c>
      <c r="BT35" s="35">
        <f>+'실적 Raw Data'!BP35</f>
        <v/>
      </c>
      <c r="BU35" s="35">
        <f>+V35-BA35-BR35</f>
        <v/>
      </c>
      <c r="BV35" s="35">
        <f>+X35-BC35-BT35</f>
        <v/>
      </c>
      <c r="BW35" s="35">
        <f>IF(OR(LEFT(J36,1)="R", LEFT(J36,3)="QZZ"),0, '실적 Raw Data'!M35)</f>
        <v/>
      </c>
      <c r="BX35" s="35">
        <f>'실적 Raw Data'!V35</f>
        <v/>
      </c>
      <c r="BY35" s="27">
        <f>IF(OR(N36="V전지:SET",N36="V전지:set/oe"),BW35*22.9,BW35)</f>
        <v/>
      </c>
    </row>
    <row r="36">
      <c r="A36" s="19">
        <f>RIGHT('실적 Raw Data'!C36,4)&amp;"년"</f>
        <v/>
      </c>
      <c r="B36" s="19">
        <f>TRIM(MID('실적 Raw Data'!C36,9,4))</f>
        <v/>
      </c>
      <c r="C36" s="20">
        <f>IF(LEFT('실적 Raw Data'!A36,5)*1=20313,"차량",IF(LEFT('실적 Raw Data'!A36,5)*1=20314,"차량",IF(LEFT('실적 Raw Data'!A36,5)*1=20342,"산전","산전")))</f>
        <v/>
      </c>
      <c r="D36" s="19">
        <f>IF(LEFT('실적 Raw Data'!A36,5)*1=20342,"모티브",IF(LEFT('실적 Raw Data'!A36,5)*1=20345,"고정형",IF(LEFT('실적 Raw Data'!A36,5)*1=20313,"차량대리점","차량OE")))</f>
        <v/>
      </c>
      <c r="E36" s="21">
        <f>VLOOKUP($D36&amp;$H36,[1]지점코드!$A:$F,4,0)</f>
        <v/>
      </c>
      <c r="F36" s="21">
        <f>VLOOKUP($D36&amp;$H36,[1]지점코드!$A:$F,5,0)</f>
        <v/>
      </c>
      <c r="G36" s="21">
        <f>VLOOKUP($D36&amp;$H36,[1]지점코드!$A:$F,6,0)</f>
        <v/>
      </c>
      <c r="H36" s="19">
        <f>LEFT('실적 Raw Data'!E36,7)</f>
        <v/>
      </c>
      <c r="I36" s="19">
        <f>SUBSTITUTE((SUBSTITUTE('실적 Raw Data'!E36,H36,"")),"    ","")</f>
        <v/>
      </c>
      <c r="J36" s="19">
        <f>TRIM(LEFT('실적 Raw Data'!B36,11))</f>
        <v/>
      </c>
      <c r="K36" s="19">
        <f>TRIM((SUBSTITUTE('실적 Raw Data'!B36,J36,"")))</f>
        <v/>
      </c>
      <c r="L36" s="22">
        <f>IF(D36="모티브",VLOOKUP(C36&amp;J36,[1]제품분류!$A:$J,4,0),IF(D36="고정형",VLOOKUP(C36&amp;J36,[1]제품분류!$A:$J,4,0),IF(D36="차량대리점",VLOOKUP("차량대리점"&amp;J36,[1]제품분류!$A:$J,4,0),IF(D36="차량OE",VLOOKUP("차량OE"&amp;J36,[1]제품분류!$A:$J,4,0)))))</f>
        <v/>
      </c>
      <c r="M36" s="22">
        <f>IF(D36="모티브",VLOOKUP("산전"&amp;J36,[1]제품분류!$A:$J,5,0),IF(D36="고정형",VLOOKUP(C36&amp;J36,[1]제품분류!$A:$J,5,0),IF(D36="차량대리점",VLOOKUP("차량대리점"&amp;J36,[1]제품분류!$A:$J,5,0),IF(D36="차량OE", VLOOKUP(C36&amp;J36,[1]제품분류!$A:$J,5,0)))))</f>
        <v/>
      </c>
      <c r="N36" s="19">
        <f>IF(D36="모티브",VLOOKUP("산전"&amp;J36,[1]제품분류!$A:$J,6,0),IF(D36="고정형",VLOOKUP("산전"&amp;J36,[1]제품분류!$A:$J,6,0),IF(D36="차량대리점",VLOOKUP("차량대리점"&amp;J36,[1]제품분류!$A:$J,6,0))))</f>
        <v/>
      </c>
      <c r="O36" s="19">
        <f>IF(D36="모티브",VLOOKUP("산전"&amp;J36,[1]제품분류!$A:$J,7,0),IF(D36="고정형",VLOOKUP("산전"&amp;J36,[1]제품분류!$A:$J,7,0),IF(D36="차량대리점",VLOOKUP("차량대리점"&amp;J36,[1]제품분류!$A:$J,7,0),IF(D36="차량OE", VLOOKUP(D36&amp;J36,[1]제품분류!$A:$J,7,0)))))</f>
        <v/>
      </c>
      <c r="P36" s="19">
        <f>IF(D36="모티브",VLOOKUP("산전"&amp;J36,[1]제품분류!$A:$J,8,0),IF(D36="고정형",VLOOKUP("산전"&amp;J36,[1]제품분류!$A:$J,8,0),IF(D36="차량대리점",VLOOKUP("차량대리점"&amp;J36,[1]제품분류!$A:$J,8,0),IF(D36="차량OE", VLOOKUP(D36&amp;J36,[1]제품분류!$A:$J,8,0)))))</f>
        <v/>
      </c>
      <c r="Q36" s="34">
        <f>+'실적 Raw Data'!BN36</f>
        <v/>
      </c>
      <c r="R36" s="34">
        <f>+'실적 Raw Data'!BO36</f>
        <v/>
      </c>
      <c r="S36" s="34">
        <f>+T36-Q36-R36</f>
        <v/>
      </c>
      <c r="T36" s="35">
        <f>'실적 Raw Data'!H36</f>
        <v/>
      </c>
      <c r="U36" s="35">
        <f>'실적 Raw Data'!I36</f>
        <v/>
      </c>
      <c r="V36" s="35">
        <f>+'실적 Raw Data'!R36</f>
        <v/>
      </c>
      <c r="W36" s="35">
        <f>'실적 Raw Data'!J36</f>
        <v/>
      </c>
      <c r="X36" s="35">
        <f>'실적 Raw Data'!F36</f>
        <v/>
      </c>
      <c r="Y36" s="35">
        <f>+'실적 Raw Data'!AV36</f>
        <v/>
      </c>
      <c r="Z36" s="35">
        <f>+'실적 Raw Data'!AW36</f>
        <v/>
      </c>
      <c r="AA36" s="35">
        <f>+'실적 Raw Data'!AX36</f>
        <v/>
      </c>
      <c r="AB36" s="35">
        <f>+'실적 Raw Data'!AY36</f>
        <v/>
      </c>
      <c r="AC36" s="35">
        <f>+'실적 Raw Data'!AZ36</f>
        <v/>
      </c>
      <c r="AD36" s="35">
        <f>+Y36+Z36+AA36+AB36+AC36</f>
        <v/>
      </c>
      <c r="AE36" s="35">
        <f>+'실적 Raw Data'!BA36</f>
        <v/>
      </c>
      <c r="AF36" s="35">
        <f>+'실적 Raw Data'!BB36</f>
        <v/>
      </c>
      <c r="AG36" s="35">
        <f>+'실적 Raw Data'!BC36</f>
        <v/>
      </c>
      <c r="AH36" s="35">
        <f>+AE36+AF36+AG36</f>
        <v/>
      </c>
      <c r="AI36" s="35">
        <f>+'실적 Raw Data'!BD36</f>
        <v/>
      </c>
      <c r="AJ36" s="35">
        <f>+'실적 Raw Data'!BE36</f>
        <v/>
      </c>
      <c r="AK36" s="35">
        <f>+'실적 Raw Data'!BF36</f>
        <v/>
      </c>
      <c r="AL36" s="35">
        <f>+'실적 Raw Data'!BG36</f>
        <v/>
      </c>
      <c r="AM36" s="35">
        <f>+AJ36+AK36+AL36</f>
        <v/>
      </c>
      <c r="AN36" s="35">
        <f>+AD36+AH36+AI36+AM36</f>
        <v/>
      </c>
      <c r="AO36" s="35">
        <f>+'실적 Raw Data'!BH36</f>
        <v/>
      </c>
      <c r="AP36" s="36">
        <f>+'실적 Raw Data'!BJ36</f>
        <v/>
      </c>
      <c r="AQ36" s="35">
        <f>+AO36+AP36</f>
        <v/>
      </c>
      <c r="AR36" s="35">
        <f>+'실적 Raw Data'!BK36</f>
        <v/>
      </c>
      <c r="AS36" s="35">
        <f>+AQ36+AR36</f>
        <v/>
      </c>
      <c r="AT36" s="35">
        <f>+'실적 Raw Data'!BI36</f>
        <v/>
      </c>
      <c r="AU36" s="35">
        <f>+'실적 Raw Data'!BL36</f>
        <v/>
      </c>
      <c r="AV36" s="35">
        <f>+'실적 Raw Data'!BM36</f>
        <v/>
      </c>
      <c r="AW36" s="35">
        <f>SUM(AT36:AV36)</f>
        <v/>
      </c>
      <c r="AX36" s="35">
        <f>+AY36-(+AW36+AS36+AN36)+BX36</f>
        <v/>
      </c>
      <c r="AY36" s="35">
        <f>+'실적 Raw Data'!AT36</f>
        <v/>
      </c>
      <c r="AZ36" s="35">
        <f>+'실적 Raw Data'!X36+'실적 Raw Data'!Y36+'실적 Raw Data'!Z36</f>
        <v/>
      </c>
      <c r="BA36" s="35">
        <f>+'실적 Raw Data'!S36</f>
        <v/>
      </c>
      <c r="BB36" s="35">
        <f>'실적 Raw Data'!W36</f>
        <v/>
      </c>
      <c r="BC36" s="35">
        <f>+'실적 Raw Data'!G36</f>
        <v/>
      </c>
      <c r="BD36" s="35">
        <f>+'실적 Raw Data'!CS36</f>
        <v/>
      </c>
      <c r="BE36" s="35">
        <f>+'실적 Raw Data'!CT36</f>
        <v/>
      </c>
      <c r="BF36" s="35">
        <f>+'실적 Raw Data'!CW36</f>
        <v/>
      </c>
      <c r="BG36" s="35">
        <f>+'실적 Raw Data'!DE36</f>
        <v/>
      </c>
      <c r="BH36" s="35">
        <f>+'실적 Raw Data'!DH36</f>
        <v/>
      </c>
      <c r="BI36" s="35">
        <f>+'실적 Raw Data'!DJ36</f>
        <v/>
      </c>
      <c r="BJ36" s="35">
        <f>+'실적 Raw Data'!DL36</f>
        <v/>
      </c>
      <c r="BK36" s="35">
        <f>SUM(BD36:BJ36)</f>
        <v/>
      </c>
      <c r="BL36" s="35">
        <f>+'실적 Raw Data'!BY36+'실적 Raw Data'!BZ36+'실적 Raw Data'!CA36+'실적 Raw Data'!CB36+'실적 Raw Data'!CC36+'실적 Raw Data'!CD36+'실적 Raw Data'!CE36+'실적 Raw Data'!CF36</f>
        <v/>
      </c>
      <c r="BM36" s="35">
        <f>+'실적 Raw Data'!CH36</f>
        <v/>
      </c>
      <c r="BN36" s="35">
        <f>'실적 Raw Data'!CR36</f>
        <v/>
      </c>
      <c r="BO36" s="35">
        <f>+'실적 Raw Data'!CU36</f>
        <v/>
      </c>
      <c r="BP36" s="35">
        <f>+BQ36-BL36-BM36-BN36-BO36</f>
        <v/>
      </c>
      <c r="BQ36" s="35">
        <f>+BR36-BK36</f>
        <v/>
      </c>
      <c r="BR36" s="35">
        <f>+'실적 Raw Data'!T36</f>
        <v/>
      </c>
      <c r="BS36" s="35">
        <f>BT36-BR36</f>
        <v/>
      </c>
      <c r="BT36" s="35">
        <f>+'실적 Raw Data'!BP36</f>
        <v/>
      </c>
      <c r="BU36" s="35">
        <f>+V36-BA36-BR36</f>
        <v/>
      </c>
      <c r="BV36" s="35">
        <f>+X36-BC36-BT36</f>
        <v/>
      </c>
      <c r="BW36" s="35">
        <f>IF(OR(LEFT(J37,1)="R", LEFT(J37,3)="QZZ"),0, '실적 Raw Data'!M36)</f>
        <v/>
      </c>
      <c r="BX36" s="35">
        <f>'실적 Raw Data'!V36</f>
        <v/>
      </c>
      <c r="BY36" s="27">
        <f>IF(OR(N37="V전지:SET",N37="V전지:set/oe"),BW36*22.9,BW36)</f>
        <v/>
      </c>
    </row>
    <row r="37">
      <c r="A37" s="19">
        <f>RIGHT('실적 Raw Data'!C37,4)&amp;"년"</f>
        <v/>
      </c>
      <c r="B37" s="19">
        <f>TRIM(MID('실적 Raw Data'!C37,9,4))</f>
        <v/>
      </c>
      <c r="C37" s="20">
        <f>IF(LEFT('실적 Raw Data'!A37,5)*1=20313,"차량",IF(LEFT('실적 Raw Data'!A37,5)*1=20314,"차량",IF(LEFT('실적 Raw Data'!A37,5)*1=20342,"산전","산전")))</f>
        <v/>
      </c>
      <c r="D37" s="19">
        <f>IF(LEFT('실적 Raw Data'!A37,5)*1=20342,"모티브",IF(LEFT('실적 Raw Data'!A37,5)*1=20345,"고정형",IF(LEFT('실적 Raw Data'!A37,5)*1=20313,"차량대리점","차량OE")))</f>
        <v/>
      </c>
      <c r="E37" s="21">
        <f>VLOOKUP($D37&amp;$H37,[1]지점코드!$A:$F,4,0)</f>
        <v/>
      </c>
      <c r="F37" s="21">
        <f>VLOOKUP($D37&amp;$H37,[1]지점코드!$A:$F,5,0)</f>
        <v/>
      </c>
      <c r="G37" s="21">
        <f>VLOOKUP($D37&amp;$H37,[1]지점코드!$A:$F,6,0)</f>
        <v/>
      </c>
      <c r="H37" s="19">
        <f>LEFT('실적 Raw Data'!E37,7)</f>
        <v/>
      </c>
      <c r="I37" s="19">
        <f>SUBSTITUTE((SUBSTITUTE('실적 Raw Data'!E37,H37,"")),"    ","")</f>
        <v/>
      </c>
      <c r="J37" s="19">
        <f>TRIM(LEFT('실적 Raw Data'!B37,11))</f>
        <v/>
      </c>
      <c r="K37" s="19">
        <f>TRIM((SUBSTITUTE('실적 Raw Data'!B37,J37,"")))</f>
        <v/>
      </c>
      <c r="L37" s="22">
        <f>IF(D37="모티브",VLOOKUP(C37&amp;J37,[1]제품분류!$A:$J,4,0),IF(D37="고정형",VLOOKUP(C37&amp;J37,[1]제품분류!$A:$J,4,0),IF(D37="차량대리점",VLOOKUP("차량대리점"&amp;J37,[1]제품분류!$A:$J,4,0),IF(D37="차량OE",VLOOKUP("차량OE"&amp;J37,[1]제품분류!$A:$J,4,0)))))</f>
        <v/>
      </c>
      <c r="M37" s="22">
        <f>IF(D37="모티브",VLOOKUP("산전"&amp;J37,[1]제품분류!$A:$J,5,0),IF(D37="고정형",VLOOKUP(C37&amp;J37,[1]제품분류!$A:$J,5,0),IF(D37="차량대리점",VLOOKUP("차량대리점"&amp;J37,[1]제품분류!$A:$J,5,0),IF(D37="차량OE", VLOOKUP(C37&amp;J37,[1]제품분류!$A:$J,5,0)))))</f>
        <v/>
      </c>
      <c r="N37" s="19">
        <f>IF(D37="모티브",VLOOKUP("산전"&amp;J37,[1]제품분류!$A:$J,6,0),IF(D37="고정형",VLOOKUP("산전"&amp;J37,[1]제품분류!$A:$J,6,0),IF(D37="차량대리점",VLOOKUP("차량대리점"&amp;J37,[1]제품분류!$A:$J,6,0))))</f>
        <v/>
      </c>
      <c r="O37" s="19">
        <f>IF(D37="모티브",VLOOKUP("산전"&amp;J37,[1]제품분류!$A:$J,7,0),IF(D37="고정형",VLOOKUP("산전"&amp;J37,[1]제품분류!$A:$J,7,0),IF(D37="차량대리점",VLOOKUP("차량대리점"&amp;J37,[1]제품분류!$A:$J,7,0),IF(D37="차량OE", VLOOKUP(D37&amp;J37,[1]제품분류!$A:$J,7,0)))))</f>
        <v/>
      </c>
      <c r="P37" s="19">
        <f>IF(D37="모티브",VLOOKUP("산전"&amp;J37,[1]제품분류!$A:$J,8,0),IF(D37="고정형",VLOOKUP("산전"&amp;J37,[1]제품분류!$A:$J,8,0),IF(D37="차량대리점",VLOOKUP("차량대리점"&amp;J37,[1]제품분류!$A:$J,8,0),IF(D37="차량OE", VLOOKUP(D37&amp;J37,[1]제품분류!$A:$J,8,0)))))</f>
        <v/>
      </c>
      <c r="Q37" s="34">
        <f>+'실적 Raw Data'!BN37</f>
        <v/>
      </c>
      <c r="R37" s="34">
        <f>+'실적 Raw Data'!BO37</f>
        <v/>
      </c>
      <c r="S37" s="34">
        <f>+T37-Q37-R37</f>
        <v/>
      </c>
      <c r="T37" s="35">
        <f>'실적 Raw Data'!H37</f>
        <v/>
      </c>
      <c r="U37" s="35">
        <f>'실적 Raw Data'!I37</f>
        <v/>
      </c>
      <c r="V37" s="35">
        <f>+'실적 Raw Data'!R37</f>
        <v/>
      </c>
      <c r="W37" s="35">
        <f>'실적 Raw Data'!J37</f>
        <v/>
      </c>
      <c r="X37" s="35">
        <f>'실적 Raw Data'!F37</f>
        <v/>
      </c>
      <c r="Y37" s="35">
        <f>+'실적 Raw Data'!AV37</f>
        <v/>
      </c>
      <c r="Z37" s="35">
        <f>+'실적 Raw Data'!AW37</f>
        <v/>
      </c>
      <c r="AA37" s="35">
        <f>+'실적 Raw Data'!AX37</f>
        <v/>
      </c>
      <c r="AB37" s="35">
        <f>+'실적 Raw Data'!AY37</f>
        <v/>
      </c>
      <c r="AC37" s="35">
        <f>+'실적 Raw Data'!AZ37</f>
        <v/>
      </c>
      <c r="AD37" s="35">
        <f>+Y37+Z37+AA37+AB37+AC37</f>
        <v/>
      </c>
      <c r="AE37" s="35">
        <f>+'실적 Raw Data'!BA37</f>
        <v/>
      </c>
      <c r="AF37" s="35">
        <f>+'실적 Raw Data'!BB37</f>
        <v/>
      </c>
      <c r="AG37" s="35">
        <f>+'실적 Raw Data'!BC37</f>
        <v/>
      </c>
      <c r="AH37" s="35">
        <f>+AE37+AF37+AG37</f>
        <v/>
      </c>
      <c r="AI37" s="35">
        <f>+'실적 Raw Data'!BD37</f>
        <v/>
      </c>
      <c r="AJ37" s="35">
        <f>+'실적 Raw Data'!BE37</f>
        <v/>
      </c>
      <c r="AK37" s="35">
        <f>+'실적 Raw Data'!BF37</f>
        <v/>
      </c>
      <c r="AL37" s="35">
        <f>+'실적 Raw Data'!BG37</f>
        <v/>
      </c>
      <c r="AM37" s="35">
        <f>+AJ37+AK37+AL37</f>
        <v/>
      </c>
      <c r="AN37" s="35">
        <f>+AD37+AH37+AI37+AM37</f>
        <v/>
      </c>
      <c r="AO37" s="35">
        <f>+'실적 Raw Data'!BH37</f>
        <v/>
      </c>
      <c r="AP37" s="36">
        <f>+'실적 Raw Data'!BJ37</f>
        <v/>
      </c>
      <c r="AQ37" s="35">
        <f>+AO37+AP37</f>
        <v/>
      </c>
      <c r="AR37" s="35">
        <f>+'실적 Raw Data'!BK37</f>
        <v/>
      </c>
      <c r="AS37" s="35">
        <f>+AQ37+AR37</f>
        <v/>
      </c>
      <c r="AT37" s="35">
        <f>+'실적 Raw Data'!BI37</f>
        <v/>
      </c>
      <c r="AU37" s="35">
        <f>+'실적 Raw Data'!BL37</f>
        <v/>
      </c>
      <c r="AV37" s="35">
        <f>+'실적 Raw Data'!BM37</f>
        <v/>
      </c>
      <c r="AW37" s="35">
        <f>SUM(AT37:AV37)</f>
        <v/>
      </c>
      <c r="AX37" s="35">
        <f>+AY37-(+AW37+AS37+AN37)+BX37</f>
        <v/>
      </c>
      <c r="AY37" s="35">
        <f>+'실적 Raw Data'!AT37</f>
        <v/>
      </c>
      <c r="AZ37" s="35">
        <f>+'실적 Raw Data'!X37+'실적 Raw Data'!Y37+'실적 Raw Data'!Z37</f>
        <v/>
      </c>
      <c r="BA37" s="35">
        <f>+'실적 Raw Data'!S37</f>
        <v/>
      </c>
      <c r="BB37" s="35">
        <f>'실적 Raw Data'!W37</f>
        <v/>
      </c>
      <c r="BC37" s="35">
        <f>+'실적 Raw Data'!G37</f>
        <v/>
      </c>
      <c r="BD37" s="35">
        <f>+'실적 Raw Data'!CS37</f>
        <v/>
      </c>
      <c r="BE37" s="35">
        <f>+'실적 Raw Data'!CT37</f>
        <v/>
      </c>
      <c r="BF37" s="35">
        <f>+'실적 Raw Data'!CW37</f>
        <v/>
      </c>
      <c r="BG37" s="35">
        <f>+'실적 Raw Data'!DE37</f>
        <v/>
      </c>
      <c r="BH37" s="35">
        <f>+'실적 Raw Data'!DH37</f>
        <v/>
      </c>
      <c r="BI37" s="35">
        <f>+'실적 Raw Data'!DJ37</f>
        <v/>
      </c>
      <c r="BJ37" s="35">
        <f>+'실적 Raw Data'!DL37</f>
        <v/>
      </c>
      <c r="BK37" s="35">
        <f>SUM(BD37:BJ37)</f>
        <v/>
      </c>
      <c r="BL37" s="35">
        <f>+'실적 Raw Data'!BY37+'실적 Raw Data'!BZ37+'실적 Raw Data'!CA37+'실적 Raw Data'!CB37+'실적 Raw Data'!CC37+'실적 Raw Data'!CD37+'실적 Raw Data'!CE37+'실적 Raw Data'!CF37</f>
        <v/>
      </c>
      <c r="BM37" s="35">
        <f>+'실적 Raw Data'!CH37</f>
        <v/>
      </c>
      <c r="BN37" s="35">
        <f>'실적 Raw Data'!CR37</f>
        <v/>
      </c>
      <c r="BO37" s="35">
        <f>+'실적 Raw Data'!CU37</f>
        <v/>
      </c>
      <c r="BP37" s="35">
        <f>+BQ37-BL37-BM37-BN37-BO37</f>
        <v/>
      </c>
      <c r="BQ37" s="35">
        <f>+BR37-BK37</f>
        <v/>
      </c>
      <c r="BR37" s="35">
        <f>+'실적 Raw Data'!T37</f>
        <v/>
      </c>
      <c r="BS37" s="35">
        <f>BT37-BR37</f>
        <v/>
      </c>
      <c r="BT37" s="35">
        <f>+'실적 Raw Data'!BP37</f>
        <v/>
      </c>
      <c r="BU37" s="35">
        <f>+V37-BA37-BR37</f>
        <v/>
      </c>
      <c r="BV37" s="35">
        <f>+X37-BC37-BT37</f>
        <v/>
      </c>
      <c r="BW37" s="35">
        <f>IF(OR(LEFT(J38,1)="R", LEFT(J38,3)="QZZ"),0, '실적 Raw Data'!M37)</f>
        <v/>
      </c>
      <c r="BX37" s="35">
        <f>'실적 Raw Data'!V37</f>
        <v/>
      </c>
      <c r="BY37" s="27">
        <f>IF(OR(N38="V전지:SET",N38="V전지:set/oe"),BW37*22.9,BW37)</f>
        <v/>
      </c>
    </row>
    <row r="38">
      <c r="A38" s="19">
        <f>RIGHT('실적 Raw Data'!C38,4)&amp;"년"</f>
        <v/>
      </c>
      <c r="B38" s="19">
        <f>TRIM(MID('실적 Raw Data'!C38,9,4))</f>
        <v/>
      </c>
      <c r="C38" s="20">
        <f>IF(LEFT('실적 Raw Data'!A38,5)*1=20313,"차량",IF(LEFT('실적 Raw Data'!A38,5)*1=20314,"차량",IF(LEFT('실적 Raw Data'!A38,5)*1=20342,"산전","산전")))</f>
        <v/>
      </c>
      <c r="D38" s="19">
        <f>IF(LEFT('실적 Raw Data'!A38,5)*1=20342,"모티브",IF(LEFT('실적 Raw Data'!A38,5)*1=20345,"고정형",IF(LEFT('실적 Raw Data'!A38,5)*1=20313,"차량대리점","차량OE")))</f>
        <v/>
      </c>
      <c r="E38" s="21">
        <f>VLOOKUP($D38&amp;$H38,[1]지점코드!$A:$F,4,0)</f>
        <v/>
      </c>
      <c r="F38" s="21">
        <f>VLOOKUP($D38&amp;$H38,[1]지점코드!$A:$F,5,0)</f>
        <v/>
      </c>
      <c r="G38" s="21">
        <f>VLOOKUP($D38&amp;$H38,[1]지점코드!$A:$F,6,0)</f>
        <v/>
      </c>
      <c r="H38" s="19">
        <f>LEFT('실적 Raw Data'!E38,7)</f>
        <v/>
      </c>
      <c r="I38" s="19">
        <f>SUBSTITUTE((SUBSTITUTE('실적 Raw Data'!E38,H38,"")),"    ","")</f>
        <v/>
      </c>
      <c r="J38" s="19">
        <f>TRIM(LEFT('실적 Raw Data'!B38,11))</f>
        <v/>
      </c>
      <c r="K38" s="19">
        <f>TRIM((SUBSTITUTE('실적 Raw Data'!B38,J38,"")))</f>
        <v/>
      </c>
      <c r="L38" s="22">
        <f>IF(D38="모티브",VLOOKUP(C38&amp;J38,[1]제품분류!$A:$J,4,0),IF(D38="고정형",VLOOKUP(C38&amp;J38,[1]제품분류!$A:$J,4,0),IF(D38="차량대리점",VLOOKUP("차량대리점"&amp;J38,[1]제품분류!$A:$J,4,0),IF(D38="차량OE",VLOOKUP("차량OE"&amp;J38,[1]제품분류!$A:$J,4,0)))))</f>
        <v/>
      </c>
      <c r="M38" s="22">
        <f>IF(D38="모티브",VLOOKUP("산전"&amp;J38,[1]제품분류!$A:$J,5,0),IF(D38="고정형",VLOOKUP(C38&amp;J38,[1]제품분류!$A:$J,5,0),IF(D38="차량대리점",VLOOKUP("차량대리점"&amp;J38,[1]제품분류!$A:$J,5,0),IF(D38="차량OE", VLOOKUP(C38&amp;J38,[1]제품분류!$A:$J,5,0)))))</f>
        <v/>
      </c>
      <c r="N38" s="19">
        <f>IF(D38="모티브",VLOOKUP("산전"&amp;J38,[1]제품분류!$A:$J,6,0),IF(D38="고정형",VLOOKUP("산전"&amp;J38,[1]제품분류!$A:$J,6,0),IF(D38="차량대리점",VLOOKUP("차량대리점"&amp;J38,[1]제품분류!$A:$J,6,0))))</f>
        <v/>
      </c>
      <c r="O38" s="19">
        <f>IF(D38="모티브",VLOOKUP("산전"&amp;J38,[1]제품분류!$A:$J,7,0),IF(D38="고정형",VLOOKUP("산전"&amp;J38,[1]제품분류!$A:$J,7,0),IF(D38="차량대리점",VLOOKUP("차량대리점"&amp;J38,[1]제품분류!$A:$J,7,0),IF(D38="차량OE", VLOOKUP(D38&amp;J38,[1]제품분류!$A:$J,7,0)))))</f>
        <v/>
      </c>
      <c r="P38" s="19">
        <f>IF(D38="모티브",VLOOKUP("산전"&amp;J38,[1]제품분류!$A:$J,8,0),IF(D38="고정형",VLOOKUP("산전"&amp;J38,[1]제품분류!$A:$J,8,0),IF(D38="차량대리점",VLOOKUP("차량대리점"&amp;J38,[1]제품분류!$A:$J,8,0),IF(D38="차량OE", VLOOKUP(D38&amp;J38,[1]제품분류!$A:$J,8,0)))))</f>
        <v/>
      </c>
      <c r="Q38" s="34">
        <f>+'실적 Raw Data'!BN38</f>
        <v/>
      </c>
      <c r="R38" s="34">
        <f>+'실적 Raw Data'!BO38</f>
        <v/>
      </c>
      <c r="S38" s="34">
        <f>+T38-Q38-R38</f>
        <v/>
      </c>
      <c r="T38" s="35">
        <f>'실적 Raw Data'!H38</f>
        <v/>
      </c>
      <c r="U38" s="35">
        <f>'실적 Raw Data'!I38</f>
        <v/>
      </c>
      <c r="V38" s="35">
        <f>+'실적 Raw Data'!R38</f>
        <v/>
      </c>
      <c r="W38" s="35">
        <f>'실적 Raw Data'!J38</f>
        <v/>
      </c>
      <c r="X38" s="35">
        <f>'실적 Raw Data'!F38</f>
        <v/>
      </c>
      <c r="Y38" s="35">
        <f>+'실적 Raw Data'!AV38</f>
        <v/>
      </c>
      <c r="Z38" s="35">
        <f>+'실적 Raw Data'!AW38</f>
        <v/>
      </c>
      <c r="AA38" s="35">
        <f>+'실적 Raw Data'!AX38</f>
        <v/>
      </c>
      <c r="AB38" s="35">
        <f>+'실적 Raw Data'!AY38</f>
        <v/>
      </c>
      <c r="AC38" s="35">
        <f>+'실적 Raw Data'!AZ38</f>
        <v/>
      </c>
      <c r="AD38" s="35">
        <f>+Y38+Z38+AA38+AB38+AC38</f>
        <v/>
      </c>
      <c r="AE38" s="35">
        <f>+'실적 Raw Data'!BA38</f>
        <v/>
      </c>
      <c r="AF38" s="35">
        <f>+'실적 Raw Data'!BB38</f>
        <v/>
      </c>
      <c r="AG38" s="35">
        <f>+'실적 Raw Data'!BC38</f>
        <v/>
      </c>
      <c r="AH38" s="35">
        <f>+AE38+AF38+AG38</f>
        <v/>
      </c>
      <c r="AI38" s="35">
        <f>+'실적 Raw Data'!BD38</f>
        <v/>
      </c>
      <c r="AJ38" s="35">
        <f>+'실적 Raw Data'!BE38</f>
        <v/>
      </c>
      <c r="AK38" s="35">
        <f>+'실적 Raw Data'!BF38</f>
        <v/>
      </c>
      <c r="AL38" s="35">
        <f>+'실적 Raw Data'!BG38</f>
        <v/>
      </c>
      <c r="AM38" s="35">
        <f>+AJ38+AK38+AL38</f>
        <v/>
      </c>
      <c r="AN38" s="35">
        <f>+AD38+AH38+AI38+AM38</f>
        <v/>
      </c>
      <c r="AO38" s="35">
        <f>+'실적 Raw Data'!BH38</f>
        <v/>
      </c>
      <c r="AP38" s="36">
        <f>+'실적 Raw Data'!BJ38</f>
        <v/>
      </c>
      <c r="AQ38" s="35">
        <f>+AO38+AP38</f>
        <v/>
      </c>
      <c r="AR38" s="35">
        <f>+'실적 Raw Data'!BK38</f>
        <v/>
      </c>
      <c r="AS38" s="35">
        <f>+AQ38+AR38</f>
        <v/>
      </c>
      <c r="AT38" s="35">
        <f>+'실적 Raw Data'!BI38</f>
        <v/>
      </c>
      <c r="AU38" s="35">
        <f>+'실적 Raw Data'!BL38</f>
        <v/>
      </c>
      <c r="AV38" s="35">
        <f>+'실적 Raw Data'!BM38</f>
        <v/>
      </c>
      <c r="AW38" s="35">
        <f>SUM(AT38:AV38)</f>
        <v/>
      </c>
      <c r="AX38" s="35">
        <f>+AY38-(+AW38+AS38+AN38)+BX38</f>
        <v/>
      </c>
      <c r="AY38" s="35">
        <f>+'실적 Raw Data'!AT38</f>
        <v/>
      </c>
      <c r="AZ38" s="35">
        <f>+'실적 Raw Data'!X38+'실적 Raw Data'!Y38+'실적 Raw Data'!Z38</f>
        <v/>
      </c>
      <c r="BA38" s="35">
        <f>+'실적 Raw Data'!S38</f>
        <v/>
      </c>
      <c r="BB38" s="35">
        <f>'실적 Raw Data'!W38</f>
        <v/>
      </c>
      <c r="BC38" s="35">
        <f>+'실적 Raw Data'!G38</f>
        <v/>
      </c>
      <c r="BD38" s="35">
        <f>+'실적 Raw Data'!CS38</f>
        <v/>
      </c>
      <c r="BE38" s="35">
        <f>+'실적 Raw Data'!CT38</f>
        <v/>
      </c>
      <c r="BF38" s="35">
        <f>+'실적 Raw Data'!CW38</f>
        <v/>
      </c>
      <c r="BG38" s="35">
        <f>+'실적 Raw Data'!DE38</f>
        <v/>
      </c>
      <c r="BH38" s="35">
        <f>+'실적 Raw Data'!DH38</f>
        <v/>
      </c>
      <c r="BI38" s="35">
        <f>+'실적 Raw Data'!DJ38</f>
        <v/>
      </c>
      <c r="BJ38" s="35">
        <f>+'실적 Raw Data'!DL38</f>
        <v/>
      </c>
      <c r="BK38" s="35">
        <f>SUM(BD38:BJ38)</f>
        <v/>
      </c>
      <c r="BL38" s="35">
        <f>+'실적 Raw Data'!BY38+'실적 Raw Data'!BZ38+'실적 Raw Data'!CA38+'실적 Raw Data'!CB38+'실적 Raw Data'!CC38+'실적 Raw Data'!CD38+'실적 Raw Data'!CE38+'실적 Raw Data'!CF38</f>
        <v/>
      </c>
      <c r="BM38" s="35">
        <f>+'실적 Raw Data'!CH38</f>
        <v/>
      </c>
      <c r="BN38" s="35">
        <f>'실적 Raw Data'!CR38</f>
        <v/>
      </c>
      <c r="BO38" s="35">
        <f>+'실적 Raw Data'!CU38</f>
        <v/>
      </c>
      <c r="BP38" s="35">
        <f>+BQ38-BL38-BM38-BN38-BO38</f>
        <v/>
      </c>
      <c r="BQ38" s="35">
        <f>+BR38-BK38</f>
        <v/>
      </c>
      <c r="BR38" s="35">
        <f>+'실적 Raw Data'!T38</f>
        <v/>
      </c>
      <c r="BS38" s="35">
        <f>BT38-BR38</f>
        <v/>
      </c>
      <c r="BT38" s="35">
        <f>+'실적 Raw Data'!BP38</f>
        <v/>
      </c>
      <c r="BU38" s="35">
        <f>+V38-BA38-BR38</f>
        <v/>
      </c>
      <c r="BV38" s="35">
        <f>+X38-BC38-BT38</f>
        <v/>
      </c>
      <c r="BW38" s="35">
        <f>IF(OR(LEFT(J39,1)="R", LEFT(J39,3)="QZZ"),0, '실적 Raw Data'!M38)</f>
        <v/>
      </c>
      <c r="BX38" s="35">
        <f>'실적 Raw Data'!V38</f>
        <v/>
      </c>
      <c r="BY38" s="27">
        <f>IF(OR(N39="V전지:SET",N39="V전지:set/oe"),BW38*22.9,BW38)</f>
        <v/>
      </c>
    </row>
    <row r="39">
      <c r="A39" s="19">
        <f>RIGHT('실적 Raw Data'!C39,4)&amp;"년"</f>
        <v/>
      </c>
      <c r="B39" s="19">
        <f>TRIM(MID('실적 Raw Data'!C39,9,4))</f>
        <v/>
      </c>
      <c r="C39" s="20">
        <f>IF(LEFT('실적 Raw Data'!A39,5)*1=20313,"차량",IF(LEFT('실적 Raw Data'!A39,5)*1=20314,"차량",IF(LEFT('실적 Raw Data'!A39,5)*1=20342,"산전","산전")))</f>
        <v/>
      </c>
      <c r="D39" s="19">
        <f>IF(LEFT('실적 Raw Data'!A39,5)*1=20342,"모티브",IF(LEFT('실적 Raw Data'!A39,5)*1=20345,"고정형",IF(LEFT('실적 Raw Data'!A39,5)*1=20313,"차량대리점","차량OE")))</f>
        <v/>
      </c>
      <c r="E39" s="21">
        <f>VLOOKUP($D39&amp;$H39,[1]지점코드!$A:$F,4,0)</f>
        <v/>
      </c>
      <c r="F39" s="21">
        <f>VLOOKUP($D39&amp;$H39,[1]지점코드!$A:$F,5,0)</f>
        <v/>
      </c>
      <c r="G39" s="21">
        <f>VLOOKUP($D39&amp;$H39,[1]지점코드!$A:$F,6,0)</f>
        <v/>
      </c>
      <c r="H39" s="19">
        <f>LEFT('실적 Raw Data'!E39,7)</f>
        <v/>
      </c>
      <c r="I39" s="19">
        <f>SUBSTITUTE((SUBSTITUTE('실적 Raw Data'!E39,H39,"")),"    ","")</f>
        <v/>
      </c>
      <c r="J39" s="19">
        <f>TRIM(LEFT('실적 Raw Data'!B39,11))</f>
        <v/>
      </c>
      <c r="K39" s="19">
        <f>TRIM((SUBSTITUTE('실적 Raw Data'!B39,J39,"")))</f>
        <v/>
      </c>
      <c r="L39" s="22">
        <f>IF(D39="모티브",VLOOKUP(C39&amp;J39,[1]제품분류!$A:$J,4,0),IF(D39="고정형",VLOOKUP(C39&amp;J39,[1]제품분류!$A:$J,4,0),IF(D39="차량대리점",VLOOKUP("차량대리점"&amp;J39,[1]제품분류!$A:$J,4,0),IF(D39="차량OE",VLOOKUP("차량OE"&amp;J39,[1]제품분류!$A:$J,4,0)))))</f>
        <v/>
      </c>
      <c r="M39" s="22">
        <f>IF(D39="모티브",VLOOKUP("산전"&amp;J39,[1]제품분류!$A:$J,5,0),IF(D39="고정형",VLOOKUP(C39&amp;J39,[1]제품분류!$A:$J,5,0),IF(D39="차량대리점",VLOOKUP("차량대리점"&amp;J39,[1]제품분류!$A:$J,5,0),IF(D39="차량OE", VLOOKUP(C39&amp;J39,[1]제품분류!$A:$J,5,0)))))</f>
        <v/>
      </c>
      <c r="N39" s="19">
        <f>IF(D39="모티브",VLOOKUP("산전"&amp;J39,[1]제품분류!$A:$J,6,0),IF(D39="고정형",VLOOKUP("산전"&amp;J39,[1]제품분류!$A:$J,6,0),IF(D39="차량대리점",VLOOKUP("차량대리점"&amp;J39,[1]제품분류!$A:$J,6,0))))</f>
        <v/>
      </c>
      <c r="O39" s="19">
        <f>IF(D39="모티브",VLOOKUP("산전"&amp;J39,[1]제품분류!$A:$J,7,0),IF(D39="고정형",VLOOKUP("산전"&amp;J39,[1]제품분류!$A:$J,7,0),IF(D39="차량대리점",VLOOKUP("차량대리점"&amp;J39,[1]제품분류!$A:$J,7,0),IF(D39="차량OE", VLOOKUP(D39&amp;J39,[1]제품분류!$A:$J,7,0)))))</f>
        <v/>
      </c>
      <c r="P39" s="19">
        <f>IF(D39="모티브",VLOOKUP("산전"&amp;J39,[1]제품분류!$A:$J,8,0),IF(D39="고정형",VLOOKUP("산전"&amp;J39,[1]제품분류!$A:$J,8,0),IF(D39="차량대리점",VLOOKUP("차량대리점"&amp;J39,[1]제품분류!$A:$J,8,0),IF(D39="차량OE", VLOOKUP(D39&amp;J39,[1]제품분류!$A:$J,8,0)))))</f>
        <v/>
      </c>
      <c r="Q39" s="34">
        <f>+'실적 Raw Data'!BN39</f>
        <v/>
      </c>
      <c r="R39" s="34">
        <f>+'실적 Raw Data'!BO39</f>
        <v/>
      </c>
      <c r="S39" s="34">
        <f>+T39-Q39-R39</f>
        <v/>
      </c>
      <c r="T39" s="35">
        <f>'실적 Raw Data'!H39</f>
        <v/>
      </c>
      <c r="U39" s="35">
        <f>'실적 Raw Data'!I39</f>
        <v/>
      </c>
      <c r="V39" s="35">
        <f>+'실적 Raw Data'!R39</f>
        <v/>
      </c>
      <c r="W39" s="35">
        <f>'실적 Raw Data'!J39</f>
        <v/>
      </c>
      <c r="X39" s="35">
        <f>'실적 Raw Data'!F39</f>
        <v/>
      </c>
      <c r="Y39" s="35">
        <f>+'실적 Raw Data'!AV39</f>
        <v/>
      </c>
      <c r="Z39" s="35">
        <f>+'실적 Raw Data'!AW39</f>
        <v/>
      </c>
      <c r="AA39" s="35">
        <f>+'실적 Raw Data'!AX39</f>
        <v/>
      </c>
      <c r="AB39" s="35">
        <f>+'실적 Raw Data'!AY39</f>
        <v/>
      </c>
      <c r="AC39" s="35">
        <f>+'실적 Raw Data'!AZ39</f>
        <v/>
      </c>
      <c r="AD39" s="35">
        <f>+Y39+Z39+AA39+AB39+AC39</f>
        <v/>
      </c>
      <c r="AE39" s="35">
        <f>+'실적 Raw Data'!BA39</f>
        <v/>
      </c>
      <c r="AF39" s="35">
        <f>+'실적 Raw Data'!BB39</f>
        <v/>
      </c>
      <c r="AG39" s="35">
        <f>+'실적 Raw Data'!BC39</f>
        <v/>
      </c>
      <c r="AH39" s="35">
        <f>+AE39+AF39+AG39</f>
        <v/>
      </c>
      <c r="AI39" s="35">
        <f>+'실적 Raw Data'!BD39</f>
        <v/>
      </c>
      <c r="AJ39" s="35">
        <f>+'실적 Raw Data'!BE39</f>
        <v/>
      </c>
      <c r="AK39" s="35">
        <f>+'실적 Raw Data'!BF39</f>
        <v/>
      </c>
      <c r="AL39" s="35">
        <f>+'실적 Raw Data'!BG39</f>
        <v/>
      </c>
      <c r="AM39" s="35">
        <f>+AJ39+AK39+AL39</f>
        <v/>
      </c>
      <c r="AN39" s="35">
        <f>+AD39+AH39+AI39+AM39</f>
        <v/>
      </c>
      <c r="AO39" s="35">
        <f>+'실적 Raw Data'!BH39</f>
        <v/>
      </c>
      <c r="AP39" s="36">
        <f>+'실적 Raw Data'!BJ39</f>
        <v/>
      </c>
      <c r="AQ39" s="35">
        <f>+AO39+AP39</f>
        <v/>
      </c>
      <c r="AR39" s="35">
        <f>+'실적 Raw Data'!BK39</f>
        <v/>
      </c>
      <c r="AS39" s="35">
        <f>+AQ39+AR39</f>
        <v/>
      </c>
      <c r="AT39" s="35">
        <f>+'실적 Raw Data'!BI39</f>
        <v/>
      </c>
      <c r="AU39" s="35">
        <f>+'실적 Raw Data'!BL39</f>
        <v/>
      </c>
      <c r="AV39" s="35">
        <f>+'실적 Raw Data'!BM39</f>
        <v/>
      </c>
      <c r="AW39" s="35">
        <f>SUM(AT39:AV39)</f>
        <v/>
      </c>
      <c r="AX39" s="35">
        <f>+AY39-(+AW39+AS39+AN39)+BX39</f>
        <v/>
      </c>
      <c r="AY39" s="35">
        <f>+'실적 Raw Data'!AT39</f>
        <v/>
      </c>
      <c r="AZ39" s="35">
        <f>+'실적 Raw Data'!X39+'실적 Raw Data'!Y39+'실적 Raw Data'!Z39</f>
        <v/>
      </c>
      <c r="BA39" s="35">
        <f>+'실적 Raw Data'!S39</f>
        <v/>
      </c>
      <c r="BB39" s="35">
        <f>'실적 Raw Data'!W39</f>
        <v/>
      </c>
      <c r="BC39" s="35">
        <f>+'실적 Raw Data'!G39</f>
        <v/>
      </c>
      <c r="BD39" s="35">
        <f>+'실적 Raw Data'!CS39</f>
        <v/>
      </c>
      <c r="BE39" s="35">
        <f>+'실적 Raw Data'!CT39</f>
        <v/>
      </c>
      <c r="BF39" s="35">
        <f>+'실적 Raw Data'!CW39</f>
        <v/>
      </c>
      <c r="BG39" s="35">
        <f>+'실적 Raw Data'!DE39</f>
        <v/>
      </c>
      <c r="BH39" s="35">
        <f>+'실적 Raw Data'!DH39</f>
        <v/>
      </c>
      <c r="BI39" s="35">
        <f>+'실적 Raw Data'!DJ39</f>
        <v/>
      </c>
      <c r="BJ39" s="35">
        <f>+'실적 Raw Data'!DL39</f>
        <v/>
      </c>
      <c r="BK39" s="35">
        <f>SUM(BD39:BJ39)</f>
        <v/>
      </c>
      <c r="BL39" s="35">
        <f>+'실적 Raw Data'!BY39+'실적 Raw Data'!BZ39+'실적 Raw Data'!CA39+'실적 Raw Data'!CB39+'실적 Raw Data'!CC39+'실적 Raw Data'!CD39+'실적 Raw Data'!CE39+'실적 Raw Data'!CF39</f>
        <v/>
      </c>
      <c r="BM39" s="35">
        <f>+'실적 Raw Data'!CH39</f>
        <v/>
      </c>
      <c r="BN39" s="35">
        <f>'실적 Raw Data'!CR39</f>
        <v/>
      </c>
      <c r="BO39" s="35">
        <f>+'실적 Raw Data'!CU39</f>
        <v/>
      </c>
      <c r="BP39" s="35">
        <f>+BQ39-BL39-BM39-BN39-BO39</f>
        <v/>
      </c>
      <c r="BQ39" s="35">
        <f>+BR39-BK39</f>
        <v/>
      </c>
      <c r="BR39" s="35">
        <f>+'실적 Raw Data'!T39</f>
        <v/>
      </c>
      <c r="BS39" s="35">
        <f>BT39-BR39</f>
        <v/>
      </c>
      <c r="BT39" s="35">
        <f>+'실적 Raw Data'!BP39</f>
        <v/>
      </c>
      <c r="BU39" s="35">
        <f>+V39-BA39-BR39</f>
        <v/>
      </c>
      <c r="BV39" s="35">
        <f>+X39-BC39-BT39</f>
        <v/>
      </c>
      <c r="BW39" s="35">
        <f>IF(OR(LEFT(J40,1)="R", LEFT(J40,3)="QZZ"),0, '실적 Raw Data'!M39)</f>
        <v/>
      </c>
      <c r="BX39" s="35">
        <f>'실적 Raw Data'!V39</f>
        <v/>
      </c>
      <c r="BY39" s="27">
        <f>IF(OR(N40="V전지:SET",N40="V전지:set/oe"),BW39*22.9,BW39)</f>
        <v/>
      </c>
    </row>
    <row r="40">
      <c r="A40" s="19">
        <f>RIGHT('실적 Raw Data'!C40,4)&amp;"년"</f>
        <v/>
      </c>
      <c r="B40" s="19">
        <f>TRIM(MID('실적 Raw Data'!C40,9,4))</f>
        <v/>
      </c>
      <c r="C40" s="20">
        <f>IF(LEFT('실적 Raw Data'!A40,5)*1=20313,"차량",IF(LEFT('실적 Raw Data'!A40,5)*1=20314,"차량",IF(LEFT('실적 Raw Data'!A40,5)*1=20342,"산전","산전")))</f>
        <v/>
      </c>
      <c r="D40" s="19">
        <f>IF(LEFT('실적 Raw Data'!A40,5)*1=20342,"모티브",IF(LEFT('실적 Raw Data'!A40,5)*1=20345,"고정형",IF(LEFT('실적 Raw Data'!A40,5)*1=20313,"차량대리점","차량OE")))</f>
        <v/>
      </c>
      <c r="E40" s="21">
        <f>VLOOKUP($D40&amp;$H40,[1]지점코드!$A:$F,4,0)</f>
        <v/>
      </c>
      <c r="F40" s="21">
        <f>VLOOKUP($D40&amp;$H40,[1]지점코드!$A:$F,5,0)</f>
        <v/>
      </c>
      <c r="G40" s="21">
        <f>VLOOKUP($D40&amp;$H40,[1]지점코드!$A:$F,6,0)</f>
        <v/>
      </c>
      <c r="H40" s="19">
        <f>LEFT('실적 Raw Data'!E40,7)</f>
        <v/>
      </c>
      <c r="I40" s="19">
        <f>SUBSTITUTE((SUBSTITUTE('실적 Raw Data'!E40,H40,"")),"    ","")</f>
        <v/>
      </c>
      <c r="J40" s="19">
        <f>TRIM(LEFT('실적 Raw Data'!B40,11))</f>
        <v/>
      </c>
      <c r="K40" s="19">
        <f>TRIM((SUBSTITUTE('실적 Raw Data'!B40,J40,"")))</f>
        <v/>
      </c>
      <c r="L40" s="22">
        <f>IF(D40="모티브",VLOOKUP(C40&amp;J40,[1]제품분류!$A:$J,4,0),IF(D40="고정형",VLOOKUP(C40&amp;J40,[1]제품분류!$A:$J,4,0),IF(D40="차량대리점",VLOOKUP("차량대리점"&amp;J40,[1]제품분류!$A:$J,4,0),IF(D40="차량OE",VLOOKUP("차량OE"&amp;J40,[1]제품분류!$A:$J,4,0)))))</f>
        <v/>
      </c>
      <c r="M40" s="22">
        <f>IF(D40="모티브",VLOOKUP("산전"&amp;J40,[1]제품분류!$A:$J,5,0),IF(D40="고정형",VLOOKUP(C40&amp;J40,[1]제품분류!$A:$J,5,0),IF(D40="차량대리점",VLOOKUP("차량대리점"&amp;J40,[1]제품분류!$A:$J,5,0),IF(D40="차량OE", VLOOKUP(C40&amp;J40,[1]제품분류!$A:$J,5,0)))))</f>
        <v/>
      </c>
      <c r="N40" s="19">
        <f>IF(D40="모티브",VLOOKUP("산전"&amp;J40,[1]제품분류!$A:$J,6,0),IF(D40="고정형",VLOOKUP("산전"&amp;J40,[1]제품분류!$A:$J,6,0),IF(D40="차량대리점",VLOOKUP("차량대리점"&amp;J40,[1]제품분류!$A:$J,6,0))))</f>
        <v/>
      </c>
      <c r="O40" s="19">
        <f>IF(D40="모티브",VLOOKUP("산전"&amp;J40,[1]제품분류!$A:$J,7,0),IF(D40="고정형",VLOOKUP("산전"&amp;J40,[1]제품분류!$A:$J,7,0),IF(D40="차량대리점",VLOOKUP("차량대리점"&amp;J40,[1]제품분류!$A:$J,7,0),IF(D40="차량OE", VLOOKUP(D40&amp;J40,[1]제품분류!$A:$J,7,0)))))</f>
        <v/>
      </c>
      <c r="P40" s="19">
        <f>IF(D40="모티브",VLOOKUP("산전"&amp;J40,[1]제품분류!$A:$J,8,0),IF(D40="고정형",VLOOKUP("산전"&amp;J40,[1]제품분류!$A:$J,8,0),IF(D40="차량대리점",VLOOKUP("차량대리점"&amp;J40,[1]제품분류!$A:$J,8,0),IF(D40="차량OE", VLOOKUP(D40&amp;J40,[1]제품분류!$A:$J,8,0)))))</f>
        <v/>
      </c>
      <c r="Q40" s="34">
        <f>+'실적 Raw Data'!BN40</f>
        <v/>
      </c>
      <c r="R40" s="34">
        <f>+'실적 Raw Data'!BO40</f>
        <v/>
      </c>
      <c r="S40" s="34">
        <f>+T40-Q40-R40</f>
        <v/>
      </c>
      <c r="T40" s="35">
        <f>'실적 Raw Data'!H40</f>
        <v/>
      </c>
      <c r="U40" s="35">
        <f>'실적 Raw Data'!I40</f>
        <v/>
      </c>
      <c r="V40" s="35">
        <f>+'실적 Raw Data'!R40</f>
        <v/>
      </c>
      <c r="W40" s="35">
        <f>'실적 Raw Data'!J40</f>
        <v/>
      </c>
      <c r="X40" s="35">
        <f>'실적 Raw Data'!F40</f>
        <v/>
      </c>
      <c r="Y40" s="35">
        <f>+'실적 Raw Data'!AV40</f>
        <v/>
      </c>
      <c r="Z40" s="35">
        <f>+'실적 Raw Data'!AW40</f>
        <v/>
      </c>
      <c r="AA40" s="35">
        <f>+'실적 Raw Data'!AX40</f>
        <v/>
      </c>
      <c r="AB40" s="35">
        <f>+'실적 Raw Data'!AY40</f>
        <v/>
      </c>
      <c r="AC40" s="35">
        <f>+'실적 Raw Data'!AZ40</f>
        <v/>
      </c>
      <c r="AD40" s="35">
        <f>+Y40+Z40+AA40+AB40+AC40</f>
        <v/>
      </c>
      <c r="AE40" s="35">
        <f>+'실적 Raw Data'!BA40</f>
        <v/>
      </c>
      <c r="AF40" s="35">
        <f>+'실적 Raw Data'!BB40</f>
        <v/>
      </c>
      <c r="AG40" s="35">
        <f>+'실적 Raw Data'!BC40</f>
        <v/>
      </c>
      <c r="AH40" s="35">
        <f>+AE40+AF40+AG40</f>
        <v/>
      </c>
      <c r="AI40" s="35">
        <f>+'실적 Raw Data'!BD40</f>
        <v/>
      </c>
      <c r="AJ40" s="35">
        <f>+'실적 Raw Data'!BE40</f>
        <v/>
      </c>
      <c r="AK40" s="35">
        <f>+'실적 Raw Data'!BF40</f>
        <v/>
      </c>
      <c r="AL40" s="35">
        <f>+'실적 Raw Data'!BG40</f>
        <v/>
      </c>
      <c r="AM40" s="35">
        <f>+AJ40+AK40+AL40</f>
        <v/>
      </c>
      <c r="AN40" s="35">
        <f>+AD40+AH40+AI40+AM40</f>
        <v/>
      </c>
      <c r="AO40" s="35">
        <f>+'실적 Raw Data'!BH40</f>
        <v/>
      </c>
      <c r="AP40" s="36">
        <f>+'실적 Raw Data'!BJ40</f>
        <v/>
      </c>
      <c r="AQ40" s="35">
        <f>+AO40+AP40</f>
        <v/>
      </c>
      <c r="AR40" s="35">
        <f>+'실적 Raw Data'!BK40</f>
        <v/>
      </c>
      <c r="AS40" s="35">
        <f>+AQ40+AR40</f>
        <v/>
      </c>
      <c r="AT40" s="35">
        <f>+'실적 Raw Data'!BI40</f>
        <v/>
      </c>
      <c r="AU40" s="35">
        <f>+'실적 Raw Data'!BL40</f>
        <v/>
      </c>
      <c r="AV40" s="35">
        <f>+'실적 Raw Data'!BM40</f>
        <v/>
      </c>
      <c r="AW40" s="35">
        <f>SUM(AT40:AV40)</f>
        <v/>
      </c>
      <c r="AX40" s="35">
        <f>+AY40-(+AW40+AS40+AN40)+BX40</f>
        <v/>
      </c>
      <c r="AY40" s="35">
        <f>+'실적 Raw Data'!AT40</f>
        <v/>
      </c>
      <c r="AZ40" s="35">
        <f>+'실적 Raw Data'!X40+'실적 Raw Data'!Y40+'실적 Raw Data'!Z40</f>
        <v/>
      </c>
      <c r="BA40" s="35">
        <f>+'실적 Raw Data'!S40</f>
        <v/>
      </c>
      <c r="BB40" s="35">
        <f>'실적 Raw Data'!W40</f>
        <v/>
      </c>
      <c r="BC40" s="35">
        <f>+'실적 Raw Data'!G40</f>
        <v/>
      </c>
      <c r="BD40" s="35">
        <f>+'실적 Raw Data'!CS40</f>
        <v/>
      </c>
      <c r="BE40" s="35">
        <f>+'실적 Raw Data'!CT40</f>
        <v/>
      </c>
      <c r="BF40" s="35">
        <f>+'실적 Raw Data'!CW40</f>
        <v/>
      </c>
      <c r="BG40" s="35">
        <f>+'실적 Raw Data'!DE40</f>
        <v/>
      </c>
      <c r="BH40" s="35">
        <f>+'실적 Raw Data'!DH40</f>
        <v/>
      </c>
      <c r="BI40" s="35">
        <f>+'실적 Raw Data'!DJ40</f>
        <v/>
      </c>
      <c r="BJ40" s="35">
        <f>+'실적 Raw Data'!DL40</f>
        <v/>
      </c>
      <c r="BK40" s="35">
        <f>SUM(BD40:BJ40)</f>
        <v/>
      </c>
      <c r="BL40" s="35">
        <f>+'실적 Raw Data'!BY40+'실적 Raw Data'!BZ40+'실적 Raw Data'!CA40+'실적 Raw Data'!CB40+'실적 Raw Data'!CC40+'실적 Raw Data'!CD40+'실적 Raw Data'!CE40+'실적 Raw Data'!CF40</f>
        <v/>
      </c>
      <c r="BM40" s="35">
        <f>+'실적 Raw Data'!CH40</f>
        <v/>
      </c>
      <c r="BN40" s="35">
        <f>'실적 Raw Data'!CR40</f>
        <v/>
      </c>
      <c r="BO40" s="35">
        <f>+'실적 Raw Data'!CU40</f>
        <v/>
      </c>
      <c r="BP40" s="35">
        <f>+BQ40-BL40-BM40-BN40-BO40</f>
        <v/>
      </c>
      <c r="BQ40" s="35">
        <f>+BR40-BK40</f>
        <v/>
      </c>
      <c r="BR40" s="35">
        <f>+'실적 Raw Data'!T40</f>
        <v/>
      </c>
      <c r="BS40" s="35">
        <f>BT40-BR40</f>
        <v/>
      </c>
      <c r="BT40" s="35">
        <f>+'실적 Raw Data'!BP40</f>
        <v/>
      </c>
      <c r="BU40" s="35">
        <f>+V40-BA40-BR40</f>
        <v/>
      </c>
      <c r="BV40" s="35">
        <f>+X40-BC40-BT40</f>
        <v/>
      </c>
      <c r="BW40" s="35">
        <f>IF(OR(LEFT(J41,1)="R", LEFT(J41,3)="QZZ"),0, '실적 Raw Data'!M40)</f>
        <v/>
      </c>
      <c r="BX40" s="35">
        <f>'실적 Raw Data'!V40</f>
        <v/>
      </c>
      <c r="BY40" s="27">
        <f>IF(OR(N41="V전지:SET",N41="V전지:set/oe"),BW40*22.9,BW40)</f>
        <v/>
      </c>
    </row>
    <row r="41">
      <c r="A41" s="19">
        <f>RIGHT('실적 Raw Data'!C41,4)&amp;"년"</f>
        <v/>
      </c>
      <c r="B41" s="19">
        <f>TRIM(MID('실적 Raw Data'!C41,9,4))</f>
        <v/>
      </c>
      <c r="C41" s="20">
        <f>IF(LEFT('실적 Raw Data'!A41,5)*1=20313,"차량",IF(LEFT('실적 Raw Data'!A41,5)*1=20314,"차량",IF(LEFT('실적 Raw Data'!A41,5)*1=20342,"산전","산전")))</f>
        <v/>
      </c>
      <c r="D41" s="19">
        <f>IF(LEFT('실적 Raw Data'!A41,5)*1=20342,"모티브",IF(LEFT('실적 Raw Data'!A41,5)*1=20345,"고정형",IF(LEFT('실적 Raw Data'!A41,5)*1=20313,"차량대리점","차량OE")))</f>
        <v/>
      </c>
      <c r="E41" s="21">
        <f>VLOOKUP($D41&amp;$H41,[1]지점코드!$A:$F,4,0)</f>
        <v/>
      </c>
      <c r="F41" s="21">
        <f>VLOOKUP($D41&amp;$H41,[1]지점코드!$A:$F,5,0)</f>
        <v/>
      </c>
      <c r="G41" s="21">
        <f>VLOOKUP($D41&amp;$H41,[1]지점코드!$A:$F,6,0)</f>
        <v/>
      </c>
      <c r="H41" s="19">
        <f>LEFT('실적 Raw Data'!E41,7)</f>
        <v/>
      </c>
      <c r="I41" s="19">
        <f>SUBSTITUTE((SUBSTITUTE('실적 Raw Data'!E41,H41,"")),"    ","")</f>
        <v/>
      </c>
      <c r="J41" s="19">
        <f>TRIM(LEFT('실적 Raw Data'!B41,11))</f>
        <v/>
      </c>
      <c r="K41" s="19">
        <f>TRIM((SUBSTITUTE('실적 Raw Data'!B41,J41,"")))</f>
        <v/>
      </c>
      <c r="L41" s="22">
        <f>IF(D41="모티브",VLOOKUP(C41&amp;J41,[1]제품분류!$A:$J,4,0),IF(D41="고정형",VLOOKUP(C41&amp;J41,[1]제품분류!$A:$J,4,0),IF(D41="차량대리점",VLOOKUP("차량대리점"&amp;J41,[1]제품분류!$A:$J,4,0),IF(D41="차량OE",VLOOKUP("차량OE"&amp;J41,[1]제품분류!$A:$J,4,0)))))</f>
        <v/>
      </c>
      <c r="M41" s="22">
        <f>IF(D41="모티브",VLOOKUP("산전"&amp;J41,[1]제품분류!$A:$J,5,0),IF(D41="고정형",VLOOKUP(C41&amp;J41,[1]제품분류!$A:$J,5,0),IF(D41="차량대리점",VLOOKUP("차량대리점"&amp;J41,[1]제품분류!$A:$J,5,0),IF(D41="차량OE", VLOOKUP(C41&amp;J41,[1]제품분류!$A:$J,5,0)))))</f>
        <v/>
      </c>
      <c r="N41" s="19">
        <f>IF(D41="모티브",VLOOKUP("산전"&amp;J41,[1]제품분류!$A:$J,6,0),IF(D41="고정형",VLOOKUP("산전"&amp;J41,[1]제품분류!$A:$J,6,0),IF(D41="차량대리점",VLOOKUP("차량대리점"&amp;J41,[1]제품분류!$A:$J,6,0))))</f>
        <v/>
      </c>
      <c r="O41" s="19">
        <f>IF(D41="모티브",VLOOKUP("산전"&amp;J41,[1]제품분류!$A:$J,7,0),IF(D41="고정형",VLOOKUP("산전"&amp;J41,[1]제품분류!$A:$J,7,0),IF(D41="차량대리점",VLOOKUP("차량대리점"&amp;J41,[1]제품분류!$A:$J,7,0),IF(D41="차량OE", VLOOKUP(D41&amp;J41,[1]제품분류!$A:$J,7,0)))))</f>
        <v/>
      </c>
      <c r="P41" s="19">
        <f>IF(D41="모티브",VLOOKUP("산전"&amp;J41,[1]제품분류!$A:$J,8,0),IF(D41="고정형",VLOOKUP("산전"&amp;J41,[1]제품분류!$A:$J,8,0),IF(D41="차량대리점",VLOOKUP("차량대리점"&amp;J41,[1]제품분류!$A:$J,8,0),IF(D41="차량OE", VLOOKUP(D41&amp;J41,[1]제품분류!$A:$J,8,0)))))</f>
        <v/>
      </c>
      <c r="Q41" s="34">
        <f>+'실적 Raw Data'!BN41</f>
        <v/>
      </c>
      <c r="R41" s="34">
        <f>+'실적 Raw Data'!BO41</f>
        <v/>
      </c>
      <c r="S41" s="34">
        <f>+T41-Q41-R41</f>
        <v/>
      </c>
      <c r="T41" s="35">
        <f>'실적 Raw Data'!H41</f>
        <v/>
      </c>
      <c r="U41" s="35">
        <f>'실적 Raw Data'!I41</f>
        <v/>
      </c>
      <c r="V41" s="35">
        <f>+'실적 Raw Data'!R41</f>
        <v/>
      </c>
      <c r="W41" s="35">
        <f>'실적 Raw Data'!J41</f>
        <v/>
      </c>
      <c r="X41" s="35">
        <f>'실적 Raw Data'!F41</f>
        <v/>
      </c>
      <c r="Y41" s="35">
        <f>+'실적 Raw Data'!AV41</f>
        <v/>
      </c>
      <c r="Z41" s="35">
        <f>+'실적 Raw Data'!AW41</f>
        <v/>
      </c>
      <c r="AA41" s="35">
        <f>+'실적 Raw Data'!AX41</f>
        <v/>
      </c>
      <c r="AB41" s="35">
        <f>+'실적 Raw Data'!AY41</f>
        <v/>
      </c>
      <c r="AC41" s="35">
        <f>+'실적 Raw Data'!AZ41</f>
        <v/>
      </c>
      <c r="AD41" s="35">
        <f>+Y41+Z41+AA41+AB41+AC41</f>
        <v/>
      </c>
      <c r="AE41" s="35">
        <f>+'실적 Raw Data'!BA41</f>
        <v/>
      </c>
      <c r="AF41" s="35">
        <f>+'실적 Raw Data'!BB41</f>
        <v/>
      </c>
      <c r="AG41" s="35">
        <f>+'실적 Raw Data'!BC41</f>
        <v/>
      </c>
      <c r="AH41" s="35">
        <f>+AE41+AF41+AG41</f>
        <v/>
      </c>
      <c r="AI41" s="35">
        <f>+'실적 Raw Data'!BD41</f>
        <v/>
      </c>
      <c r="AJ41" s="35">
        <f>+'실적 Raw Data'!BE41</f>
        <v/>
      </c>
      <c r="AK41" s="35">
        <f>+'실적 Raw Data'!BF41</f>
        <v/>
      </c>
      <c r="AL41" s="35">
        <f>+'실적 Raw Data'!BG41</f>
        <v/>
      </c>
      <c r="AM41" s="35">
        <f>+AJ41+AK41+AL41</f>
        <v/>
      </c>
      <c r="AN41" s="35">
        <f>+AD41+AH41+AI41+AM41</f>
        <v/>
      </c>
      <c r="AO41" s="35">
        <f>+'실적 Raw Data'!BH41</f>
        <v/>
      </c>
      <c r="AP41" s="36">
        <f>+'실적 Raw Data'!BJ41</f>
        <v/>
      </c>
      <c r="AQ41" s="35">
        <f>+AO41+AP41</f>
        <v/>
      </c>
      <c r="AR41" s="35">
        <f>+'실적 Raw Data'!BK41</f>
        <v/>
      </c>
      <c r="AS41" s="35">
        <f>+AQ41+AR41</f>
        <v/>
      </c>
      <c r="AT41" s="35">
        <f>+'실적 Raw Data'!BI41</f>
        <v/>
      </c>
      <c r="AU41" s="35">
        <f>+'실적 Raw Data'!BL41</f>
        <v/>
      </c>
      <c r="AV41" s="35">
        <f>+'실적 Raw Data'!BM41</f>
        <v/>
      </c>
      <c r="AW41" s="35">
        <f>SUM(AT41:AV41)</f>
        <v/>
      </c>
      <c r="AX41" s="35">
        <f>+AY41-(+AW41+AS41+AN41)+BX41</f>
        <v/>
      </c>
      <c r="AY41" s="35">
        <f>+'실적 Raw Data'!AT41</f>
        <v/>
      </c>
      <c r="AZ41" s="35">
        <f>+'실적 Raw Data'!X41+'실적 Raw Data'!Y41+'실적 Raw Data'!Z41</f>
        <v/>
      </c>
      <c r="BA41" s="35">
        <f>+'실적 Raw Data'!S41</f>
        <v/>
      </c>
      <c r="BB41" s="35">
        <f>'실적 Raw Data'!W41</f>
        <v/>
      </c>
      <c r="BC41" s="35">
        <f>+'실적 Raw Data'!G41</f>
        <v/>
      </c>
      <c r="BD41" s="35">
        <f>+'실적 Raw Data'!CS41</f>
        <v/>
      </c>
      <c r="BE41" s="35">
        <f>+'실적 Raw Data'!CT41</f>
        <v/>
      </c>
      <c r="BF41" s="35">
        <f>+'실적 Raw Data'!CW41</f>
        <v/>
      </c>
      <c r="BG41" s="35">
        <f>+'실적 Raw Data'!DE41</f>
        <v/>
      </c>
      <c r="BH41" s="35">
        <f>+'실적 Raw Data'!DH41</f>
        <v/>
      </c>
      <c r="BI41" s="35">
        <f>+'실적 Raw Data'!DJ41</f>
        <v/>
      </c>
      <c r="BJ41" s="35">
        <f>+'실적 Raw Data'!DL41</f>
        <v/>
      </c>
      <c r="BK41" s="35">
        <f>SUM(BD41:BJ41)</f>
        <v/>
      </c>
      <c r="BL41" s="35">
        <f>+'실적 Raw Data'!BY41+'실적 Raw Data'!BZ41+'실적 Raw Data'!CA41+'실적 Raw Data'!CB41+'실적 Raw Data'!CC41+'실적 Raw Data'!CD41+'실적 Raw Data'!CE41+'실적 Raw Data'!CF41</f>
        <v/>
      </c>
      <c r="BM41" s="35">
        <f>+'실적 Raw Data'!CH41</f>
        <v/>
      </c>
      <c r="BN41" s="35">
        <f>'실적 Raw Data'!CR41</f>
        <v/>
      </c>
      <c r="BO41" s="35">
        <f>+'실적 Raw Data'!CU41</f>
        <v/>
      </c>
      <c r="BP41" s="35">
        <f>+BQ41-BL41-BM41-BN41-BO41</f>
        <v/>
      </c>
      <c r="BQ41" s="35">
        <f>+BR41-BK41</f>
        <v/>
      </c>
      <c r="BR41" s="35">
        <f>+'실적 Raw Data'!T41</f>
        <v/>
      </c>
      <c r="BS41" s="35">
        <f>BT41-BR41</f>
        <v/>
      </c>
      <c r="BT41" s="35">
        <f>+'실적 Raw Data'!BP41</f>
        <v/>
      </c>
      <c r="BU41" s="35">
        <f>+V41-BA41-BR41</f>
        <v/>
      </c>
      <c r="BV41" s="35">
        <f>+X41-BC41-BT41</f>
        <v/>
      </c>
      <c r="BW41" s="35">
        <f>IF(OR(LEFT(J42,1)="R", LEFT(J42,3)="QZZ"),0, '실적 Raw Data'!M41)</f>
        <v/>
      </c>
      <c r="BX41" s="35">
        <f>'실적 Raw Data'!V41</f>
        <v/>
      </c>
      <c r="BY41" s="27">
        <f>IF(OR(N42="V전지:SET",N42="V전지:set/oe"),BW41*22.9,BW41)</f>
        <v/>
      </c>
    </row>
    <row r="42">
      <c r="A42" s="19">
        <f>RIGHT('실적 Raw Data'!C42,4)&amp;"년"</f>
        <v/>
      </c>
      <c r="B42" s="19">
        <f>TRIM(MID('실적 Raw Data'!C42,9,4))</f>
        <v/>
      </c>
      <c r="C42" s="20">
        <f>IF(LEFT('실적 Raw Data'!A42,5)*1=20313,"차량",IF(LEFT('실적 Raw Data'!A42,5)*1=20314,"차량",IF(LEFT('실적 Raw Data'!A42,5)*1=20342,"산전","산전")))</f>
        <v/>
      </c>
      <c r="D42" s="19">
        <f>IF(LEFT('실적 Raw Data'!A42,5)*1=20342,"모티브",IF(LEFT('실적 Raw Data'!A42,5)*1=20345,"고정형",IF(LEFT('실적 Raw Data'!A42,5)*1=20313,"차량대리점","차량OE")))</f>
        <v/>
      </c>
      <c r="E42" s="21">
        <f>VLOOKUP($D42&amp;$H42,[1]지점코드!$A:$F,4,0)</f>
        <v/>
      </c>
      <c r="F42" s="21">
        <f>VLOOKUP($D42&amp;$H42,[1]지점코드!$A:$F,5,0)</f>
        <v/>
      </c>
      <c r="G42" s="21">
        <f>VLOOKUP($D42&amp;$H42,[1]지점코드!$A:$F,6,0)</f>
        <v/>
      </c>
      <c r="H42" s="19">
        <f>LEFT('실적 Raw Data'!E42,7)</f>
        <v/>
      </c>
      <c r="I42" s="19">
        <f>SUBSTITUTE((SUBSTITUTE('실적 Raw Data'!E42,H42,"")),"    ","")</f>
        <v/>
      </c>
      <c r="J42" s="19">
        <f>TRIM(LEFT('실적 Raw Data'!B42,11))</f>
        <v/>
      </c>
      <c r="K42" s="19">
        <f>TRIM((SUBSTITUTE('실적 Raw Data'!B42,J42,"")))</f>
        <v/>
      </c>
      <c r="L42" s="22">
        <f>IF(D42="모티브",VLOOKUP(C42&amp;J42,[1]제품분류!$A:$J,4,0),IF(D42="고정형",VLOOKUP(C42&amp;J42,[1]제품분류!$A:$J,4,0),IF(D42="차량대리점",VLOOKUP("차량대리점"&amp;J42,[1]제품분류!$A:$J,4,0),IF(D42="차량OE",VLOOKUP("차량OE"&amp;J42,[1]제품분류!$A:$J,4,0)))))</f>
        <v/>
      </c>
      <c r="M42" s="22">
        <f>IF(D42="모티브",VLOOKUP("산전"&amp;J42,[1]제품분류!$A:$J,5,0),IF(D42="고정형",VLOOKUP(C42&amp;J42,[1]제품분류!$A:$J,5,0),IF(D42="차량대리점",VLOOKUP("차량대리점"&amp;J42,[1]제품분류!$A:$J,5,0),IF(D42="차량OE", VLOOKUP(C42&amp;J42,[1]제품분류!$A:$J,5,0)))))</f>
        <v/>
      </c>
      <c r="N42" s="19">
        <f>IF(D42="모티브",VLOOKUP("산전"&amp;J42,[1]제품분류!$A:$J,6,0),IF(D42="고정형",VLOOKUP("산전"&amp;J42,[1]제품분류!$A:$J,6,0),IF(D42="차량대리점",VLOOKUP("차량대리점"&amp;J42,[1]제품분류!$A:$J,6,0))))</f>
        <v/>
      </c>
      <c r="O42" s="19">
        <f>IF(D42="모티브",VLOOKUP("산전"&amp;J42,[1]제품분류!$A:$J,7,0),IF(D42="고정형",VLOOKUP("산전"&amp;J42,[1]제품분류!$A:$J,7,0),IF(D42="차량대리점",VLOOKUP("차량대리점"&amp;J42,[1]제품분류!$A:$J,7,0),IF(D42="차량OE", VLOOKUP(D42&amp;J42,[1]제품분류!$A:$J,7,0)))))</f>
        <v/>
      </c>
      <c r="P42" s="19">
        <f>IF(D42="모티브",VLOOKUP("산전"&amp;J42,[1]제품분류!$A:$J,8,0),IF(D42="고정형",VLOOKUP("산전"&amp;J42,[1]제품분류!$A:$J,8,0),IF(D42="차량대리점",VLOOKUP("차량대리점"&amp;J42,[1]제품분류!$A:$J,8,0),IF(D42="차량OE", VLOOKUP(D42&amp;J42,[1]제품분류!$A:$J,8,0)))))</f>
        <v/>
      </c>
      <c r="Q42" s="34">
        <f>+'실적 Raw Data'!BN42</f>
        <v/>
      </c>
      <c r="R42" s="34">
        <f>+'실적 Raw Data'!BO42</f>
        <v/>
      </c>
      <c r="S42" s="34">
        <f>+T42-Q42-R42</f>
        <v/>
      </c>
      <c r="T42" s="35">
        <f>'실적 Raw Data'!H42</f>
        <v/>
      </c>
      <c r="U42" s="35">
        <f>'실적 Raw Data'!I42</f>
        <v/>
      </c>
      <c r="V42" s="35">
        <f>+'실적 Raw Data'!R42</f>
        <v/>
      </c>
      <c r="W42" s="35">
        <f>'실적 Raw Data'!J42</f>
        <v/>
      </c>
      <c r="X42" s="35">
        <f>'실적 Raw Data'!F42</f>
        <v/>
      </c>
      <c r="Y42" s="35">
        <f>+'실적 Raw Data'!AV42</f>
        <v/>
      </c>
      <c r="Z42" s="35">
        <f>+'실적 Raw Data'!AW42</f>
        <v/>
      </c>
      <c r="AA42" s="35">
        <f>+'실적 Raw Data'!AX42</f>
        <v/>
      </c>
      <c r="AB42" s="35">
        <f>+'실적 Raw Data'!AY42</f>
        <v/>
      </c>
      <c r="AC42" s="35">
        <f>+'실적 Raw Data'!AZ42</f>
        <v/>
      </c>
      <c r="AD42" s="35">
        <f>+Y42+Z42+AA42+AB42+AC42</f>
        <v/>
      </c>
      <c r="AE42" s="35">
        <f>+'실적 Raw Data'!BA42</f>
        <v/>
      </c>
      <c r="AF42" s="35">
        <f>+'실적 Raw Data'!BB42</f>
        <v/>
      </c>
      <c r="AG42" s="35">
        <f>+'실적 Raw Data'!BC42</f>
        <v/>
      </c>
      <c r="AH42" s="35">
        <f>+AE42+AF42+AG42</f>
        <v/>
      </c>
      <c r="AI42" s="35">
        <f>+'실적 Raw Data'!BD42</f>
        <v/>
      </c>
      <c r="AJ42" s="35">
        <f>+'실적 Raw Data'!BE42</f>
        <v/>
      </c>
      <c r="AK42" s="35">
        <f>+'실적 Raw Data'!BF42</f>
        <v/>
      </c>
      <c r="AL42" s="35">
        <f>+'실적 Raw Data'!BG42</f>
        <v/>
      </c>
      <c r="AM42" s="35">
        <f>+AJ42+AK42+AL42</f>
        <v/>
      </c>
      <c r="AN42" s="35">
        <f>+AD42+AH42+AI42+AM42</f>
        <v/>
      </c>
      <c r="AO42" s="35">
        <f>+'실적 Raw Data'!BH42</f>
        <v/>
      </c>
      <c r="AP42" s="36">
        <f>+'실적 Raw Data'!BJ42</f>
        <v/>
      </c>
      <c r="AQ42" s="35">
        <f>+AO42+AP42</f>
        <v/>
      </c>
      <c r="AR42" s="35">
        <f>+'실적 Raw Data'!BK42</f>
        <v/>
      </c>
      <c r="AS42" s="35">
        <f>+AQ42+AR42</f>
        <v/>
      </c>
      <c r="AT42" s="35">
        <f>+'실적 Raw Data'!BI42</f>
        <v/>
      </c>
      <c r="AU42" s="35">
        <f>+'실적 Raw Data'!BL42</f>
        <v/>
      </c>
      <c r="AV42" s="35">
        <f>+'실적 Raw Data'!BM42</f>
        <v/>
      </c>
      <c r="AW42" s="35">
        <f>SUM(AT42:AV42)</f>
        <v/>
      </c>
      <c r="AX42" s="35">
        <f>+AY42-(+AW42+AS42+AN42)+BX42</f>
        <v/>
      </c>
      <c r="AY42" s="35">
        <f>+'실적 Raw Data'!AT42</f>
        <v/>
      </c>
      <c r="AZ42" s="35">
        <f>+'실적 Raw Data'!X42+'실적 Raw Data'!Y42+'실적 Raw Data'!Z42</f>
        <v/>
      </c>
      <c r="BA42" s="35">
        <f>+'실적 Raw Data'!S42</f>
        <v/>
      </c>
      <c r="BB42" s="35">
        <f>'실적 Raw Data'!W42</f>
        <v/>
      </c>
      <c r="BC42" s="35">
        <f>+'실적 Raw Data'!G42</f>
        <v/>
      </c>
      <c r="BD42" s="35">
        <f>+'실적 Raw Data'!CS42</f>
        <v/>
      </c>
      <c r="BE42" s="35">
        <f>+'실적 Raw Data'!CT42</f>
        <v/>
      </c>
      <c r="BF42" s="35">
        <f>+'실적 Raw Data'!CW42</f>
        <v/>
      </c>
      <c r="BG42" s="35">
        <f>+'실적 Raw Data'!DE42</f>
        <v/>
      </c>
      <c r="BH42" s="35">
        <f>+'실적 Raw Data'!DH42</f>
        <v/>
      </c>
      <c r="BI42" s="35">
        <f>+'실적 Raw Data'!DJ42</f>
        <v/>
      </c>
      <c r="BJ42" s="35">
        <f>+'실적 Raw Data'!DL42</f>
        <v/>
      </c>
      <c r="BK42" s="35">
        <f>SUM(BD42:BJ42)</f>
        <v/>
      </c>
      <c r="BL42" s="35">
        <f>+'실적 Raw Data'!BY42+'실적 Raw Data'!BZ42+'실적 Raw Data'!CA42+'실적 Raw Data'!CB42+'실적 Raw Data'!CC42+'실적 Raw Data'!CD42+'실적 Raw Data'!CE42+'실적 Raw Data'!CF42</f>
        <v/>
      </c>
      <c r="BM42" s="35">
        <f>+'실적 Raw Data'!CH42</f>
        <v/>
      </c>
      <c r="BN42" s="35">
        <f>'실적 Raw Data'!CR42</f>
        <v/>
      </c>
      <c r="BO42" s="35">
        <f>+'실적 Raw Data'!CU42</f>
        <v/>
      </c>
      <c r="BP42" s="35">
        <f>+BQ42-BL42-BM42-BN42-BO42</f>
        <v/>
      </c>
      <c r="BQ42" s="35">
        <f>+BR42-BK42</f>
        <v/>
      </c>
      <c r="BR42" s="35">
        <f>+'실적 Raw Data'!T42</f>
        <v/>
      </c>
      <c r="BS42" s="35">
        <f>BT42-BR42</f>
        <v/>
      </c>
      <c r="BT42" s="35">
        <f>+'실적 Raw Data'!BP42</f>
        <v/>
      </c>
      <c r="BU42" s="35">
        <f>+V42-BA42-BR42</f>
        <v/>
      </c>
      <c r="BV42" s="35">
        <f>+X42-BC42-BT42</f>
        <v/>
      </c>
      <c r="BW42" s="35">
        <f>IF(OR(LEFT(J43,1)="R", LEFT(J43,3)="QZZ"),0, '실적 Raw Data'!M42)</f>
        <v/>
      </c>
      <c r="BX42" s="35">
        <f>'실적 Raw Data'!V42</f>
        <v/>
      </c>
      <c r="BY42" s="27">
        <f>IF(OR(N43="V전지:SET",N43="V전지:set/oe"),BW42*22.9,BW42)</f>
        <v/>
      </c>
    </row>
    <row r="43">
      <c r="A43" s="19">
        <f>RIGHT('실적 Raw Data'!C43,4)&amp;"년"</f>
        <v/>
      </c>
      <c r="B43" s="19">
        <f>TRIM(MID('실적 Raw Data'!C43,9,4))</f>
        <v/>
      </c>
      <c r="C43" s="20">
        <f>IF(LEFT('실적 Raw Data'!A43,5)*1=20313,"차량",IF(LEFT('실적 Raw Data'!A43,5)*1=20314,"차량",IF(LEFT('실적 Raw Data'!A43,5)*1=20342,"산전","산전")))</f>
        <v/>
      </c>
      <c r="D43" s="19">
        <f>IF(LEFT('실적 Raw Data'!A43,5)*1=20342,"모티브",IF(LEFT('실적 Raw Data'!A43,5)*1=20345,"고정형",IF(LEFT('실적 Raw Data'!A43,5)*1=20313,"차량대리점","차량OE")))</f>
        <v/>
      </c>
      <c r="E43" s="21">
        <f>VLOOKUP($D43&amp;$H43,[1]지점코드!$A:$F,4,0)</f>
        <v/>
      </c>
      <c r="F43" s="21">
        <f>VLOOKUP($D43&amp;$H43,[1]지점코드!$A:$F,5,0)</f>
        <v/>
      </c>
      <c r="G43" s="21">
        <f>VLOOKUP($D43&amp;$H43,[1]지점코드!$A:$F,6,0)</f>
        <v/>
      </c>
      <c r="H43" s="19">
        <f>LEFT('실적 Raw Data'!E43,7)</f>
        <v/>
      </c>
      <c r="I43" s="19">
        <f>SUBSTITUTE((SUBSTITUTE('실적 Raw Data'!E43,H43,"")),"    ","")</f>
        <v/>
      </c>
      <c r="J43" s="19">
        <f>TRIM(LEFT('실적 Raw Data'!B43,11))</f>
        <v/>
      </c>
      <c r="K43" s="19">
        <f>TRIM((SUBSTITUTE('실적 Raw Data'!B43,J43,"")))</f>
        <v/>
      </c>
      <c r="L43" s="22">
        <f>IF(D43="모티브",VLOOKUP(C43&amp;J43,[1]제품분류!$A:$J,4,0),IF(D43="고정형",VLOOKUP(C43&amp;J43,[1]제품분류!$A:$J,4,0),IF(D43="차량대리점",VLOOKUP("차량대리점"&amp;J43,[1]제품분류!$A:$J,4,0),IF(D43="차량OE",VLOOKUP("차량OE"&amp;J43,[1]제품분류!$A:$J,4,0)))))</f>
        <v/>
      </c>
      <c r="M43" s="22">
        <f>IF(D43="모티브",VLOOKUP("산전"&amp;J43,[1]제품분류!$A:$J,5,0),IF(D43="고정형",VLOOKUP(C43&amp;J43,[1]제품분류!$A:$J,5,0),IF(D43="차량대리점",VLOOKUP("차량대리점"&amp;J43,[1]제품분류!$A:$J,5,0),IF(D43="차량OE", VLOOKUP(C43&amp;J43,[1]제품분류!$A:$J,5,0)))))</f>
        <v/>
      </c>
      <c r="N43" s="19">
        <f>IF(D43="모티브",VLOOKUP("산전"&amp;J43,[1]제품분류!$A:$J,6,0),IF(D43="고정형",VLOOKUP("산전"&amp;J43,[1]제품분류!$A:$J,6,0),IF(D43="차량대리점",VLOOKUP("차량대리점"&amp;J43,[1]제품분류!$A:$J,6,0))))</f>
        <v/>
      </c>
      <c r="O43" s="19">
        <f>IF(D43="모티브",VLOOKUP("산전"&amp;J43,[1]제품분류!$A:$J,7,0),IF(D43="고정형",VLOOKUP("산전"&amp;J43,[1]제품분류!$A:$J,7,0),IF(D43="차량대리점",VLOOKUP("차량대리점"&amp;J43,[1]제품분류!$A:$J,7,0),IF(D43="차량OE", VLOOKUP(D43&amp;J43,[1]제품분류!$A:$J,7,0)))))</f>
        <v/>
      </c>
      <c r="P43" s="19">
        <f>IF(D43="모티브",VLOOKUP("산전"&amp;J43,[1]제품분류!$A:$J,8,0),IF(D43="고정형",VLOOKUP("산전"&amp;J43,[1]제품분류!$A:$J,8,0),IF(D43="차량대리점",VLOOKUP("차량대리점"&amp;J43,[1]제품분류!$A:$J,8,0),IF(D43="차량OE", VLOOKUP(D43&amp;J43,[1]제품분류!$A:$J,8,0)))))</f>
        <v/>
      </c>
      <c r="Q43" s="34">
        <f>+'실적 Raw Data'!BN43</f>
        <v/>
      </c>
      <c r="R43" s="34">
        <f>+'실적 Raw Data'!BO43</f>
        <v/>
      </c>
      <c r="S43" s="34">
        <f>+T43-Q43-R43</f>
        <v/>
      </c>
      <c r="T43" s="35">
        <f>'실적 Raw Data'!H43</f>
        <v/>
      </c>
      <c r="U43" s="35">
        <f>'실적 Raw Data'!I43</f>
        <v/>
      </c>
      <c r="V43" s="35">
        <f>+'실적 Raw Data'!R43</f>
        <v/>
      </c>
      <c r="W43" s="35">
        <f>'실적 Raw Data'!J43</f>
        <v/>
      </c>
      <c r="X43" s="35">
        <f>'실적 Raw Data'!F43</f>
        <v/>
      </c>
      <c r="Y43" s="35">
        <f>+'실적 Raw Data'!AV43</f>
        <v/>
      </c>
      <c r="Z43" s="35">
        <f>+'실적 Raw Data'!AW43</f>
        <v/>
      </c>
      <c r="AA43" s="35">
        <f>+'실적 Raw Data'!AX43</f>
        <v/>
      </c>
      <c r="AB43" s="35">
        <f>+'실적 Raw Data'!AY43</f>
        <v/>
      </c>
      <c r="AC43" s="35">
        <f>+'실적 Raw Data'!AZ43</f>
        <v/>
      </c>
      <c r="AD43" s="35">
        <f>+Y43+Z43+AA43+AB43+AC43</f>
        <v/>
      </c>
      <c r="AE43" s="35">
        <f>+'실적 Raw Data'!BA43</f>
        <v/>
      </c>
      <c r="AF43" s="35">
        <f>+'실적 Raw Data'!BB43</f>
        <v/>
      </c>
      <c r="AG43" s="35">
        <f>+'실적 Raw Data'!BC43</f>
        <v/>
      </c>
      <c r="AH43" s="35">
        <f>+AE43+AF43+AG43</f>
        <v/>
      </c>
      <c r="AI43" s="35">
        <f>+'실적 Raw Data'!BD43</f>
        <v/>
      </c>
      <c r="AJ43" s="35">
        <f>+'실적 Raw Data'!BE43</f>
        <v/>
      </c>
      <c r="AK43" s="35">
        <f>+'실적 Raw Data'!BF43</f>
        <v/>
      </c>
      <c r="AL43" s="35">
        <f>+'실적 Raw Data'!BG43</f>
        <v/>
      </c>
      <c r="AM43" s="35">
        <f>+AJ43+AK43+AL43</f>
        <v/>
      </c>
      <c r="AN43" s="35">
        <f>+AD43+AH43+AI43+AM43</f>
        <v/>
      </c>
      <c r="AO43" s="35">
        <f>+'실적 Raw Data'!BH43</f>
        <v/>
      </c>
      <c r="AP43" s="36">
        <f>+'실적 Raw Data'!BJ43</f>
        <v/>
      </c>
      <c r="AQ43" s="35">
        <f>+AO43+AP43</f>
        <v/>
      </c>
      <c r="AR43" s="35">
        <f>+'실적 Raw Data'!BK43</f>
        <v/>
      </c>
      <c r="AS43" s="35">
        <f>+AQ43+AR43</f>
        <v/>
      </c>
      <c r="AT43" s="35">
        <f>+'실적 Raw Data'!BI43</f>
        <v/>
      </c>
      <c r="AU43" s="35">
        <f>+'실적 Raw Data'!BL43</f>
        <v/>
      </c>
      <c r="AV43" s="35">
        <f>+'실적 Raw Data'!BM43</f>
        <v/>
      </c>
      <c r="AW43" s="35">
        <f>SUM(AT43:AV43)</f>
        <v/>
      </c>
      <c r="AX43" s="35">
        <f>+AY43-(+AW43+AS43+AN43)+BX43</f>
        <v/>
      </c>
      <c r="AY43" s="35">
        <f>+'실적 Raw Data'!AT43</f>
        <v/>
      </c>
      <c r="AZ43" s="35">
        <f>+'실적 Raw Data'!X43+'실적 Raw Data'!Y43+'실적 Raw Data'!Z43</f>
        <v/>
      </c>
      <c r="BA43" s="35">
        <f>+'실적 Raw Data'!S43</f>
        <v/>
      </c>
      <c r="BB43" s="35">
        <f>'실적 Raw Data'!W43</f>
        <v/>
      </c>
      <c r="BC43" s="35">
        <f>+'실적 Raw Data'!G43</f>
        <v/>
      </c>
      <c r="BD43" s="35">
        <f>+'실적 Raw Data'!CS43</f>
        <v/>
      </c>
      <c r="BE43" s="35">
        <f>+'실적 Raw Data'!CT43</f>
        <v/>
      </c>
      <c r="BF43" s="35">
        <f>+'실적 Raw Data'!CW43</f>
        <v/>
      </c>
      <c r="BG43" s="35">
        <f>+'실적 Raw Data'!DE43</f>
        <v/>
      </c>
      <c r="BH43" s="35">
        <f>+'실적 Raw Data'!DH43</f>
        <v/>
      </c>
      <c r="BI43" s="35">
        <f>+'실적 Raw Data'!DJ43</f>
        <v/>
      </c>
      <c r="BJ43" s="35">
        <f>+'실적 Raw Data'!DL43</f>
        <v/>
      </c>
      <c r="BK43" s="35">
        <f>SUM(BD43:BJ43)</f>
        <v/>
      </c>
      <c r="BL43" s="35">
        <f>+'실적 Raw Data'!BY43+'실적 Raw Data'!BZ43+'실적 Raw Data'!CA43+'실적 Raw Data'!CB43+'실적 Raw Data'!CC43+'실적 Raw Data'!CD43+'실적 Raw Data'!CE43+'실적 Raw Data'!CF43</f>
        <v/>
      </c>
      <c r="BM43" s="35">
        <f>+'실적 Raw Data'!CH43</f>
        <v/>
      </c>
      <c r="BN43" s="35">
        <f>'실적 Raw Data'!CR43</f>
        <v/>
      </c>
      <c r="BO43" s="35">
        <f>+'실적 Raw Data'!CU43</f>
        <v/>
      </c>
      <c r="BP43" s="35">
        <f>+BQ43-BL43-BM43-BN43-BO43</f>
        <v/>
      </c>
      <c r="BQ43" s="35">
        <f>+BR43-BK43</f>
        <v/>
      </c>
      <c r="BR43" s="35">
        <f>+'실적 Raw Data'!T43</f>
        <v/>
      </c>
      <c r="BS43" s="35">
        <f>BT43-BR43</f>
        <v/>
      </c>
      <c r="BT43" s="35">
        <f>+'실적 Raw Data'!BP43</f>
        <v/>
      </c>
      <c r="BU43" s="35">
        <f>+V43-BA43-BR43</f>
        <v/>
      </c>
      <c r="BV43" s="35">
        <f>+X43-BC43-BT43</f>
        <v/>
      </c>
      <c r="BW43" s="35">
        <f>IF(OR(LEFT(J44,1)="R", LEFT(J44,3)="QZZ"),0, '실적 Raw Data'!M43)</f>
        <v/>
      </c>
      <c r="BX43" s="35">
        <f>'실적 Raw Data'!V43</f>
        <v/>
      </c>
      <c r="BY43" s="27">
        <f>IF(OR(N44="V전지:SET",N44="V전지:set/oe"),BW43*22.9,BW43)</f>
        <v/>
      </c>
    </row>
    <row r="44">
      <c r="A44" s="19">
        <f>RIGHT('실적 Raw Data'!C44,4)&amp;"년"</f>
        <v/>
      </c>
      <c r="B44" s="19">
        <f>TRIM(MID('실적 Raw Data'!C44,9,4))</f>
        <v/>
      </c>
      <c r="C44" s="20">
        <f>IF(LEFT('실적 Raw Data'!A44,5)*1=20313,"차량",IF(LEFT('실적 Raw Data'!A44,5)*1=20314,"차량",IF(LEFT('실적 Raw Data'!A44,5)*1=20342,"산전","산전")))</f>
        <v/>
      </c>
      <c r="D44" s="19">
        <f>IF(LEFT('실적 Raw Data'!A44,5)*1=20342,"모티브",IF(LEFT('실적 Raw Data'!A44,5)*1=20345,"고정형",IF(LEFT('실적 Raw Data'!A44,5)*1=20313,"차량대리점","차량OE")))</f>
        <v/>
      </c>
      <c r="E44" s="21">
        <f>VLOOKUP($D44&amp;$H44,[1]지점코드!$A:$F,4,0)</f>
        <v/>
      </c>
      <c r="F44" s="21">
        <f>VLOOKUP($D44&amp;$H44,[1]지점코드!$A:$F,5,0)</f>
        <v/>
      </c>
      <c r="G44" s="21">
        <f>VLOOKUP($D44&amp;$H44,[1]지점코드!$A:$F,6,0)</f>
        <v/>
      </c>
      <c r="H44" s="19">
        <f>LEFT('실적 Raw Data'!E44,7)</f>
        <v/>
      </c>
      <c r="I44" s="19">
        <f>SUBSTITUTE((SUBSTITUTE('실적 Raw Data'!E44,H44,"")),"    ","")</f>
        <v/>
      </c>
      <c r="J44" s="19">
        <f>TRIM(LEFT('실적 Raw Data'!B44,11))</f>
        <v/>
      </c>
      <c r="K44" s="19">
        <f>TRIM((SUBSTITUTE('실적 Raw Data'!B44,J44,"")))</f>
        <v/>
      </c>
      <c r="L44" s="22">
        <f>IF(D44="모티브",VLOOKUP(C44&amp;J44,[1]제품분류!$A:$J,4,0),IF(D44="고정형",VLOOKUP(C44&amp;J44,[1]제품분류!$A:$J,4,0),IF(D44="차량대리점",VLOOKUP("차량대리점"&amp;J44,[1]제품분류!$A:$J,4,0),IF(D44="차량OE",VLOOKUP("차량OE"&amp;J44,[1]제품분류!$A:$J,4,0)))))</f>
        <v/>
      </c>
      <c r="M44" s="22">
        <f>IF(D44="모티브",VLOOKUP("산전"&amp;J44,[1]제품분류!$A:$J,5,0),IF(D44="고정형",VLOOKUP(C44&amp;J44,[1]제품분류!$A:$J,5,0),IF(D44="차량대리점",VLOOKUP("차량대리점"&amp;J44,[1]제품분류!$A:$J,5,0),IF(D44="차량OE", VLOOKUP(C44&amp;J44,[1]제품분류!$A:$J,5,0)))))</f>
        <v/>
      </c>
      <c r="N44" s="19">
        <f>IF(D44="모티브",VLOOKUP("산전"&amp;J44,[1]제품분류!$A:$J,6,0),IF(D44="고정형",VLOOKUP("산전"&amp;J44,[1]제품분류!$A:$J,6,0),IF(D44="차량대리점",VLOOKUP("차량대리점"&amp;J44,[1]제품분류!$A:$J,6,0))))</f>
        <v/>
      </c>
      <c r="O44" s="19">
        <f>IF(D44="모티브",VLOOKUP("산전"&amp;J44,[1]제품분류!$A:$J,7,0),IF(D44="고정형",VLOOKUP("산전"&amp;J44,[1]제품분류!$A:$J,7,0),IF(D44="차량대리점",VLOOKUP("차량대리점"&amp;J44,[1]제품분류!$A:$J,7,0),IF(D44="차량OE", VLOOKUP(D44&amp;J44,[1]제품분류!$A:$J,7,0)))))</f>
        <v/>
      </c>
      <c r="P44" s="19">
        <f>IF(D44="모티브",VLOOKUP("산전"&amp;J44,[1]제품분류!$A:$J,8,0),IF(D44="고정형",VLOOKUP("산전"&amp;J44,[1]제품분류!$A:$J,8,0),IF(D44="차량대리점",VLOOKUP("차량대리점"&amp;J44,[1]제품분류!$A:$J,8,0),IF(D44="차량OE", VLOOKUP(D44&amp;J44,[1]제품분류!$A:$J,8,0)))))</f>
        <v/>
      </c>
      <c r="Q44" s="34">
        <f>+'실적 Raw Data'!BN44</f>
        <v/>
      </c>
      <c r="R44" s="34">
        <f>+'실적 Raw Data'!BO44</f>
        <v/>
      </c>
      <c r="S44" s="34">
        <f>+T44-Q44-R44</f>
        <v/>
      </c>
      <c r="T44" s="35">
        <f>'실적 Raw Data'!H44</f>
        <v/>
      </c>
      <c r="U44" s="35">
        <f>'실적 Raw Data'!I44</f>
        <v/>
      </c>
      <c r="V44" s="35">
        <f>+'실적 Raw Data'!R44</f>
        <v/>
      </c>
      <c r="W44" s="35">
        <f>'실적 Raw Data'!J44</f>
        <v/>
      </c>
      <c r="X44" s="35">
        <f>'실적 Raw Data'!F44</f>
        <v/>
      </c>
      <c r="Y44" s="35">
        <f>+'실적 Raw Data'!AV44</f>
        <v/>
      </c>
      <c r="Z44" s="35">
        <f>+'실적 Raw Data'!AW44</f>
        <v/>
      </c>
      <c r="AA44" s="35">
        <f>+'실적 Raw Data'!AX44</f>
        <v/>
      </c>
      <c r="AB44" s="35">
        <f>+'실적 Raw Data'!AY44</f>
        <v/>
      </c>
      <c r="AC44" s="35">
        <f>+'실적 Raw Data'!AZ44</f>
        <v/>
      </c>
      <c r="AD44" s="35">
        <f>+Y44+Z44+AA44+AB44+AC44</f>
        <v/>
      </c>
      <c r="AE44" s="35">
        <f>+'실적 Raw Data'!BA44</f>
        <v/>
      </c>
      <c r="AF44" s="35">
        <f>+'실적 Raw Data'!BB44</f>
        <v/>
      </c>
      <c r="AG44" s="35">
        <f>+'실적 Raw Data'!BC44</f>
        <v/>
      </c>
      <c r="AH44" s="35">
        <f>+AE44+AF44+AG44</f>
        <v/>
      </c>
      <c r="AI44" s="35">
        <f>+'실적 Raw Data'!BD44</f>
        <v/>
      </c>
      <c r="AJ44" s="35">
        <f>+'실적 Raw Data'!BE44</f>
        <v/>
      </c>
      <c r="AK44" s="35">
        <f>+'실적 Raw Data'!BF44</f>
        <v/>
      </c>
      <c r="AL44" s="35">
        <f>+'실적 Raw Data'!BG44</f>
        <v/>
      </c>
      <c r="AM44" s="35">
        <f>+AJ44+AK44+AL44</f>
        <v/>
      </c>
      <c r="AN44" s="35">
        <f>+AD44+AH44+AI44+AM44</f>
        <v/>
      </c>
      <c r="AO44" s="35">
        <f>+'실적 Raw Data'!BH44</f>
        <v/>
      </c>
      <c r="AP44" s="36">
        <f>+'실적 Raw Data'!BJ44</f>
        <v/>
      </c>
      <c r="AQ44" s="35">
        <f>+AO44+AP44</f>
        <v/>
      </c>
      <c r="AR44" s="35">
        <f>+'실적 Raw Data'!BK44</f>
        <v/>
      </c>
      <c r="AS44" s="35">
        <f>+AQ44+AR44</f>
        <v/>
      </c>
      <c r="AT44" s="35">
        <f>+'실적 Raw Data'!BI44</f>
        <v/>
      </c>
      <c r="AU44" s="35">
        <f>+'실적 Raw Data'!BL44</f>
        <v/>
      </c>
      <c r="AV44" s="35">
        <f>+'실적 Raw Data'!BM44</f>
        <v/>
      </c>
      <c r="AW44" s="35">
        <f>SUM(AT44:AV44)</f>
        <v/>
      </c>
      <c r="AX44" s="35">
        <f>+AY44-(+AW44+AS44+AN44)+BX44</f>
        <v/>
      </c>
      <c r="AY44" s="35">
        <f>+'실적 Raw Data'!AT44</f>
        <v/>
      </c>
      <c r="AZ44" s="35">
        <f>+'실적 Raw Data'!X44+'실적 Raw Data'!Y44+'실적 Raw Data'!Z44</f>
        <v/>
      </c>
      <c r="BA44" s="35">
        <f>+'실적 Raw Data'!S44</f>
        <v/>
      </c>
      <c r="BB44" s="35">
        <f>'실적 Raw Data'!W44</f>
        <v/>
      </c>
      <c r="BC44" s="35">
        <f>+'실적 Raw Data'!G44</f>
        <v/>
      </c>
      <c r="BD44" s="35">
        <f>+'실적 Raw Data'!CS44</f>
        <v/>
      </c>
      <c r="BE44" s="35">
        <f>+'실적 Raw Data'!CT44</f>
        <v/>
      </c>
      <c r="BF44" s="35">
        <f>+'실적 Raw Data'!CW44</f>
        <v/>
      </c>
      <c r="BG44" s="35">
        <f>+'실적 Raw Data'!DE44</f>
        <v/>
      </c>
      <c r="BH44" s="35">
        <f>+'실적 Raw Data'!DH44</f>
        <v/>
      </c>
      <c r="BI44" s="35">
        <f>+'실적 Raw Data'!DJ44</f>
        <v/>
      </c>
      <c r="BJ44" s="35">
        <f>+'실적 Raw Data'!DL44</f>
        <v/>
      </c>
      <c r="BK44" s="35">
        <f>SUM(BD44:BJ44)</f>
        <v/>
      </c>
      <c r="BL44" s="35">
        <f>+'실적 Raw Data'!BY44+'실적 Raw Data'!BZ44+'실적 Raw Data'!CA44+'실적 Raw Data'!CB44+'실적 Raw Data'!CC44+'실적 Raw Data'!CD44+'실적 Raw Data'!CE44+'실적 Raw Data'!CF44</f>
        <v/>
      </c>
      <c r="BM44" s="35">
        <f>+'실적 Raw Data'!CH44</f>
        <v/>
      </c>
      <c r="BN44" s="35">
        <f>'실적 Raw Data'!CR44</f>
        <v/>
      </c>
      <c r="BO44" s="35">
        <f>+'실적 Raw Data'!CU44</f>
        <v/>
      </c>
      <c r="BP44" s="35">
        <f>+BQ44-BL44-BM44-BN44-BO44</f>
        <v/>
      </c>
      <c r="BQ44" s="35">
        <f>+BR44-BK44</f>
        <v/>
      </c>
      <c r="BR44" s="35">
        <f>+'실적 Raw Data'!T44</f>
        <v/>
      </c>
      <c r="BS44" s="35">
        <f>BT44-BR44</f>
        <v/>
      </c>
      <c r="BT44" s="35">
        <f>+'실적 Raw Data'!BP44</f>
        <v/>
      </c>
      <c r="BU44" s="35">
        <f>+V44-BA44-BR44</f>
        <v/>
      </c>
      <c r="BV44" s="35">
        <f>+X44-BC44-BT44</f>
        <v/>
      </c>
      <c r="BW44" s="35">
        <f>IF(OR(LEFT(J45,1)="R", LEFT(J45,3)="QZZ"),0, '실적 Raw Data'!M44)</f>
        <v/>
      </c>
      <c r="BX44" s="35">
        <f>'실적 Raw Data'!V44</f>
        <v/>
      </c>
      <c r="BY44" s="27">
        <f>IF(OR(N45="V전지:SET",N45="V전지:set/oe"),BW44*22.9,BW44)</f>
        <v/>
      </c>
    </row>
    <row r="45">
      <c r="A45" s="19">
        <f>RIGHT('실적 Raw Data'!C45,4)&amp;"년"</f>
        <v/>
      </c>
      <c r="B45" s="19">
        <f>TRIM(MID('실적 Raw Data'!C45,9,4))</f>
        <v/>
      </c>
      <c r="C45" s="20">
        <f>IF(LEFT('실적 Raw Data'!A45,5)*1=20313,"차량",IF(LEFT('실적 Raw Data'!A45,5)*1=20314,"차량",IF(LEFT('실적 Raw Data'!A45,5)*1=20342,"산전","산전")))</f>
        <v/>
      </c>
      <c r="D45" s="19">
        <f>IF(LEFT('실적 Raw Data'!A45,5)*1=20342,"모티브",IF(LEFT('실적 Raw Data'!A45,5)*1=20345,"고정형",IF(LEFT('실적 Raw Data'!A45,5)*1=20313,"차량대리점","차량OE")))</f>
        <v/>
      </c>
      <c r="E45" s="21">
        <f>VLOOKUP($D45&amp;$H45,[1]지점코드!$A:$F,4,0)</f>
        <v/>
      </c>
      <c r="F45" s="21">
        <f>VLOOKUP($D45&amp;$H45,[1]지점코드!$A:$F,5,0)</f>
        <v/>
      </c>
      <c r="G45" s="21">
        <f>VLOOKUP($D45&amp;$H45,[1]지점코드!$A:$F,6,0)</f>
        <v/>
      </c>
      <c r="H45" s="19">
        <f>LEFT('실적 Raw Data'!E45,7)</f>
        <v/>
      </c>
      <c r="I45" s="19">
        <f>SUBSTITUTE((SUBSTITUTE('실적 Raw Data'!E45,H45,"")),"    ","")</f>
        <v/>
      </c>
      <c r="J45" s="19">
        <f>TRIM(LEFT('실적 Raw Data'!B45,11))</f>
        <v/>
      </c>
      <c r="K45" s="19">
        <f>TRIM((SUBSTITUTE('실적 Raw Data'!B45,J45,"")))</f>
        <v/>
      </c>
      <c r="L45" s="22">
        <f>IF(D45="모티브",VLOOKUP(C45&amp;J45,[1]제품분류!$A:$J,4,0),IF(D45="고정형",VLOOKUP(C45&amp;J45,[1]제품분류!$A:$J,4,0),IF(D45="차량대리점",VLOOKUP("차량대리점"&amp;J45,[1]제품분류!$A:$J,4,0),IF(D45="차량OE",VLOOKUP("차량OE"&amp;J45,[1]제품분류!$A:$J,4,0)))))</f>
        <v/>
      </c>
      <c r="M45" s="22">
        <f>IF(D45="모티브",VLOOKUP("산전"&amp;J45,[1]제품분류!$A:$J,5,0),IF(D45="고정형",VLOOKUP(C45&amp;J45,[1]제품분류!$A:$J,5,0),IF(D45="차량대리점",VLOOKUP("차량대리점"&amp;J45,[1]제품분류!$A:$J,5,0),IF(D45="차량OE", VLOOKUP(C45&amp;J45,[1]제품분류!$A:$J,5,0)))))</f>
        <v/>
      </c>
      <c r="N45" s="19">
        <f>IF(D45="모티브",VLOOKUP("산전"&amp;J45,[1]제품분류!$A:$J,6,0),IF(D45="고정형",VLOOKUP("산전"&amp;J45,[1]제품분류!$A:$J,6,0),IF(D45="차량대리점",VLOOKUP("차량대리점"&amp;J45,[1]제품분류!$A:$J,6,0))))</f>
        <v/>
      </c>
      <c r="O45" s="19">
        <f>IF(D45="모티브",VLOOKUP("산전"&amp;J45,[1]제품분류!$A:$J,7,0),IF(D45="고정형",VLOOKUP("산전"&amp;J45,[1]제품분류!$A:$J,7,0),IF(D45="차량대리점",VLOOKUP("차량대리점"&amp;J45,[1]제품분류!$A:$J,7,0),IF(D45="차량OE", VLOOKUP(D45&amp;J45,[1]제품분류!$A:$J,7,0)))))</f>
        <v/>
      </c>
      <c r="P45" s="19">
        <f>IF(D45="모티브",VLOOKUP("산전"&amp;J45,[1]제품분류!$A:$J,8,0),IF(D45="고정형",VLOOKUP("산전"&amp;J45,[1]제품분류!$A:$J,8,0),IF(D45="차량대리점",VLOOKUP("차량대리점"&amp;J45,[1]제품분류!$A:$J,8,0),IF(D45="차량OE", VLOOKUP(D45&amp;J45,[1]제품분류!$A:$J,8,0)))))</f>
        <v/>
      </c>
      <c r="Q45" s="34">
        <f>+'실적 Raw Data'!BN45</f>
        <v/>
      </c>
      <c r="R45" s="34">
        <f>+'실적 Raw Data'!BO45</f>
        <v/>
      </c>
      <c r="S45" s="34">
        <f>+T45-Q45-R45</f>
        <v/>
      </c>
      <c r="T45" s="35">
        <f>'실적 Raw Data'!H45</f>
        <v/>
      </c>
      <c r="U45" s="35">
        <f>'실적 Raw Data'!I45</f>
        <v/>
      </c>
      <c r="V45" s="35">
        <f>+'실적 Raw Data'!R45</f>
        <v/>
      </c>
      <c r="W45" s="35">
        <f>'실적 Raw Data'!J45</f>
        <v/>
      </c>
      <c r="X45" s="35">
        <f>'실적 Raw Data'!F45</f>
        <v/>
      </c>
      <c r="Y45" s="35">
        <f>+'실적 Raw Data'!AV45</f>
        <v/>
      </c>
      <c r="Z45" s="35">
        <f>+'실적 Raw Data'!AW45</f>
        <v/>
      </c>
      <c r="AA45" s="35">
        <f>+'실적 Raw Data'!AX45</f>
        <v/>
      </c>
      <c r="AB45" s="35">
        <f>+'실적 Raw Data'!AY45</f>
        <v/>
      </c>
      <c r="AC45" s="35">
        <f>+'실적 Raw Data'!AZ45</f>
        <v/>
      </c>
      <c r="AD45" s="35">
        <f>+Y45+Z45+AA45+AB45+AC45</f>
        <v/>
      </c>
      <c r="AE45" s="35">
        <f>+'실적 Raw Data'!BA45</f>
        <v/>
      </c>
      <c r="AF45" s="35">
        <f>+'실적 Raw Data'!BB45</f>
        <v/>
      </c>
      <c r="AG45" s="35">
        <f>+'실적 Raw Data'!BC45</f>
        <v/>
      </c>
      <c r="AH45" s="35">
        <f>+AE45+AF45+AG45</f>
        <v/>
      </c>
      <c r="AI45" s="35">
        <f>+'실적 Raw Data'!BD45</f>
        <v/>
      </c>
      <c r="AJ45" s="35">
        <f>+'실적 Raw Data'!BE45</f>
        <v/>
      </c>
      <c r="AK45" s="35">
        <f>+'실적 Raw Data'!BF45</f>
        <v/>
      </c>
      <c r="AL45" s="35">
        <f>+'실적 Raw Data'!BG45</f>
        <v/>
      </c>
      <c r="AM45" s="35">
        <f>+AJ45+AK45+AL45</f>
        <v/>
      </c>
      <c r="AN45" s="35">
        <f>+AD45+AH45+AI45+AM45</f>
        <v/>
      </c>
      <c r="AO45" s="35">
        <f>+'실적 Raw Data'!BH45</f>
        <v/>
      </c>
      <c r="AP45" s="36">
        <f>+'실적 Raw Data'!BJ45</f>
        <v/>
      </c>
      <c r="AQ45" s="35">
        <f>+AO45+AP45</f>
        <v/>
      </c>
      <c r="AR45" s="35">
        <f>+'실적 Raw Data'!BK45</f>
        <v/>
      </c>
      <c r="AS45" s="35">
        <f>+AQ45+AR45</f>
        <v/>
      </c>
      <c r="AT45" s="35">
        <f>+'실적 Raw Data'!BI45</f>
        <v/>
      </c>
      <c r="AU45" s="35">
        <f>+'실적 Raw Data'!BL45</f>
        <v/>
      </c>
      <c r="AV45" s="35">
        <f>+'실적 Raw Data'!BM45</f>
        <v/>
      </c>
      <c r="AW45" s="35">
        <f>SUM(AT45:AV45)</f>
        <v/>
      </c>
      <c r="AX45" s="35">
        <f>+AY45-(+AW45+AS45+AN45)+BX45</f>
        <v/>
      </c>
      <c r="AY45" s="35">
        <f>+'실적 Raw Data'!AT45</f>
        <v/>
      </c>
      <c r="AZ45" s="35">
        <f>+'실적 Raw Data'!X45+'실적 Raw Data'!Y45+'실적 Raw Data'!Z45</f>
        <v/>
      </c>
      <c r="BA45" s="35">
        <f>+'실적 Raw Data'!S45</f>
        <v/>
      </c>
      <c r="BB45" s="35">
        <f>'실적 Raw Data'!W45</f>
        <v/>
      </c>
      <c r="BC45" s="35">
        <f>+'실적 Raw Data'!G45</f>
        <v/>
      </c>
      <c r="BD45" s="35">
        <f>+'실적 Raw Data'!CS45</f>
        <v/>
      </c>
      <c r="BE45" s="35">
        <f>+'실적 Raw Data'!CT45</f>
        <v/>
      </c>
      <c r="BF45" s="35">
        <f>+'실적 Raw Data'!CW45</f>
        <v/>
      </c>
      <c r="BG45" s="35">
        <f>+'실적 Raw Data'!DE45</f>
        <v/>
      </c>
      <c r="BH45" s="35">
        <f>+'실적 Raw Data'!DH45</f>
        <v/>
      </c>
      <c r="BI45" s="35">
        <f>+'실적 Raw Data'!DJ45</f>
        <v/>
      </c>
      <c r="BJ45" s="35">
        <f>+'실적 Raw Data'!DL45</f>
        <v/>
      </c>
      <c r="BK45" s="35">
        <f>SUM(BD45:BJ45)</f>
        <v/>
      </c>
      <c r="BL45" s="35">
        <f>+'실적 Raw Data'!BY45+'실적 Raw Data'!BZ45+'실적 Raw Data'!CA45+'실적 Raw Data'!CB45+'실적 Raw Data'!CC45+'실적 Raw Data'!CD45+'실적 Raw Data'!CE45+'실적 Raw Data'!CF45</f>
        <v/>
      </c>
      <c r="BM45" s="35">
        <f>+'실적 Raw Data'!CH45</f>
        <v/>
      </c>
      <c r="BN45" s="35">
        <f>'실적 Raw Data'!CR45</f>
        <v/>
      </c>
      <c r="BO45" s="35">
        <f>+'실적 Raw Data'!CU45</f>
        <v/>
      </c>
      <c r="BP45" s="35">
        <f>+BQ45-BL45-BM45-BN45-BO45</f>
        <v/>
      </c>
      <c r="BQ45" s="35">
        <f>+BR45-BK45</f>
        <v/>
      </c>
      <c r="BR45" s="35">
        <f>+'실적 Raw Data'!T45</f>
        <v/>
      </c>
      <c r="BS45" s="35">
        <f>BT45-BR45</f>
        <v/>
      </c>
      <c r="BT45" s="35">
        <f>+'실적 Raw Data'!BP45</f>
        <v/>
      </c>
      <c r="BU45" s="35">
        <f>+V45-BA45-BR45</f>
        <v/>
      </c>
      <c r="BV45" s="35">
        <f>+X45-BC45-BT45</f>
        <v/>
      </c>
      <c r="BW45" s="35">
        <f>IF(OR(LEFT(J46,1)="R", LEFT(J46,3)="QZZ"),0, '실적 Raw Data'!M45)</f>
        <v/>
      </c>
      <c r="BX45" s="35">
        <f>'실적 Raw Data'!V45</f>
        <v/>
      </c>
      <c r="BY45" s="27">
        <f>IF(OR(N46="V전지:SET",N46="V전지:set/oe"),BW45*22.9,BW45)</f>
        <v/>
      </c>
    </row>
    <row r="46">
      <c r="A46" s="19">
        <f>RIGHT('실적 Raw Data'!C46,4)&amp;"년"</f>
        <v/>
      </c>
      <c r="B46" s="19">
        <f>TRIM(MID('실적 Raw Data'!C46,9,4))</f>
        <v/>
      </c>
      <c r="C46" s="20">
        <f>IF(LEFT('실적 Raw Data'!A46,5)*1=20313,"차량",IF(LEFT('실적 Raw Data'!A46,5)*1=20314,"차량",IF(LEFT('실적 Raw Data'!A46,5)*1=20342,"산전","산전")))</f>
        <v/>
      </c>
      <c r="D46" s="19">
        <f>IF(LEFT('실적 Raw Data'!A46,5)*1=20342,"모티브",IF(LEFT('실적 Raw Data'!A46,5)*1=20345,"고정형",IF(LEFT('실적 Raw Data'!A46,5)*1=20313,"차량대리점","차량OE")))</f>
        <v/>
      </c>
      <c r="E46" s="21">
        <f>VLOOKUP($D46&amp;$H46,[1]지점코드!$A:$F,4,0)</f>
        <v/>
      </c>
      <c r="F46" s="21">
        <f>VLOOKUP($D46&amp;$H46,[1]지점코드!$A:$F,5,0)</f>
        <v/>
      </c>
      <c r="G46" s="21">
        <f>VLOOKUP($D46&amp;$H46,[1]지점코드!$A:$F,6,0)</f>
        <v/>
      </c>
      <c r="H46" s="19">
        <f>LEFT('실적 Raw Data'!E46,7)</f>
        <v/>
      </c>
      <c r="I46" s="19">
        <f>SUBSTITUTE((SUBSTITUTE('실적 Raw Data'!E46,H46,"")),"    ","")</f>
        <v/>
      </c>
      <c r="J46" s="19">
        <f>TRIM(LEFT('실적 Raw Data'!B46,11))</f>
        <v/>
      </c>
      <c r="K46" s="19">
        <f>TRIM((SUBSTITUTE('실적 Raw Data'!B46,J46,"")))</f>
        <v/>
      </c>
      <c r="L46" s="22">
        <f>IF(D46="모티브",VLOOKUP(C46&amp;J46,[1]제품분류!$A:$J,4,0),IF(D46="고정형",VLOOKUP(C46&amp;J46,[1]제품분류!$A:$J,4,0),IF(D46="차량대리점",VLOOKUP("차량대리점"&amp;J46,[1]제품분류!$A:$J,4,0),IF(D46="차량OE",VLOOKUP("차량OE"&amp;J46,[1]제품분류!$A:$J,4,0)))))</f>
        <v/>
      </c>
      <c r="M46" s="22">
        <f>IF(D46="모티브",VLOOKUP("산전"&amp;J46,[1]제품분류!$A:$J,5,0),IF(D46="고정형",VLOOKUP(C46&amp;J46,[1]제품분류!$A:$J,5,0),IF(D46="차량대리점",VLOOKUP("차량대리점"&amp;J46,[1]제품분류!$A:$J,5,0),IF(D46="차량OE", VLOOKUP(C46&amp;J46,[1]제품분류!$A:$J,5,0)))))</f>
        <v/>
      </c>
      <c r="N46" s="19">
        <f>IF(D46="모티브",VLOOKUP("산전"&amp;J46,[1]제품분류!$A:$J,6,0),IF(D46="고정형",VLOOKUP("산전"&amp;J46,[1]제품분류!$A:$J,6,0),IF(D46="차량대리점",VLOOKUP("차량대리점"&amp;J46,[1]제품분류!$A:$J,6,0))))</f>
        <v/>
      </c>
      <c r="O46" s="19">
        <f>IF(D46="모티브",VLOOKUP("산전"&amp;J46,[1]제품분류!$A:$J,7,0),IF(D46="고정형",VLOOKUP("산전"&amp;J46,[1]제품분류!$A:$J,7,0),IF(D46="차량대리점",VLOOKUP("차량대리점"&amp;J46,[1]제품분류!$A:$J,7,0),IF(D46="차량OE", VLOOKUP(D46&amp;J46,[1]제품분류!$A:$J,7,0)))))</f>
        <v/>
      </c>
      <c r="P46" s="19">
        <f>IF(D46="모티브",VLOOKUP("산전"&amp;J46,[1]제품분류!$A:$J,8,0),IF(D46="고정형",VLOOKUP("산전"&amp;J46,[1]제품분류!$A:$J,8,0),IF(D46="차량대리점",VLOOKUP("차량대리점"&amp;J46,[1]제품분류!$A:$J,8,0),IF(D46="차량OE", VLOOKUP(D46&amp;J46,[1]제품분류!$A:$J,8,0)))))</f>
        <v/>
      </c>
      <c r="Q46" s="34">
        <f>+'실적 Raw Data'!BN46</f>
        <v/>
      </c>
      <c r="R46" s="34">
        <f>+'실적 Raw Data'!BO46</f>
        <v/>
      </c>
      <c r="S46" s="34">
        <f>+T46-Q46-R46</f>
        <v/>
      </c>
      <c r="T46" s="35">
        <f>'실적 Raw Data'!H46</f>
        <v/>
      </c>
      <c r="U46" s="35">
        <f>'실적 Raw Data'!I46</f>
        <v/>
      </c>
      <c r="V46" s="35">
        <f>+'실적 Raw Data'!R46</f>
        <v/>
      </c>
      <c r="W46" s="35">
        <f>'실적 Raw Data'!J46</f>
        <v/>
      </c>
      <c r="X46" s="35">
        <f>'실적 Raw Data'!F46</f>
        <v/>
      </c>
      <c r="Y46" s="35">
        <f>+'실적 Raw Data'!AV46</f>
        <v/>
      </c>
      <c r="Z46" s="35">
        <f>+'실적 Raw Data'!AW46</f>
        <v/>
      </c>
      <c r="AA46" s="35">
        <f>+'실적 Raw Data'!AX46</f>
        <v/>
      </c>
      <c r="AB46" s="35">
        <f>+'실적 Raw Data'!AY46</f>
        <v/>
      </c>
      <c r="AC46" s="35">
        <f>+'실적 Raw Data'!AZ46</f>
        <v/>
      </c>
      <c r="AD46" s="35">
        <f>+Y46+Z46+AA46+AB46+AC46</f>
        <v/>
      </c>
      <c r="AE46" s="35">
        <f>+'실적 Raw Data'!BA46</f>
        <v/>
      </c>
      <c r="AF46" s="35">
        <f>+'실적 Raw Data'!BB46</f>
        <v/>
      </c>
      <c r="AG46" s="35">
        <f>+'실적 Raw Data'!BC46</f>
        <v/>
      </c>
      <c r="AH46" s="35">
        <f>+AE46+AF46+AG46</f>
        <v/>
      </c>
      <c r="AI46" s="35">
        <f>+'실적 Raw Data'!BD46</f>
        <v/>
      </c>
      <c r="AJ46" s="35">
        <f>+'실적 Raw Data'!BE46</f>
        <v/>
      </c>
      <c r="AK46" s="35">
        <f>+'실적 Raw Data'!BF46</f>
        <v/>
      </c>
      <c r="AL46" s="35">
        <f>+'실적 Raw Data'!BG46</f>
        <v/>
      </c>
      <c r="AM46" s="35">
        <f>+AJ46+AK46+AL46</f>
        <v/>
      </c>
      <c r="AN46" s="35">
        <f>+AD46+AH46+AI46+AM46</f>
        <v/>
      </c>
      <c r="AO46" s="35">
        <f>+'실적 Raw Data'!BH46</f>
        <v/>
      </c>
      <c r="AP46" s="36">
        <f>+'실적 Raw Data'!BJ46</f>
        <v/>
      </c>
      <c r="AQ46" s="35">
        <f>+AO46+AP46</f>
        <v/>
      </c>
      <c r="AR46" s="35">
        <f>+'실적 Raw Data'!BK46</f>
        <v/>
      </c>
      <c r="AS46" s="35">
        <f>+AQ46+AR46</f>
        <v/>
      </c>
      <c r="AT46" s="35">
        <f>+'실적 Raw Data'!BI46</f>
        <v/>
      </c>
      <c r="AU46" s="35">
        <f>+'실적 Raw Data'!BL46</f>
        <v/>
      </c>
      <c r="AV46" s="35">
        <f>+'실적 Raw Data'!BM46</f>
        <v/>
      </c>
      <c r="AW46" s="35">
        <f>SUM(AT46:AV46)</f>
        <v/>
      </c>
      <c r="AX46" s="35">
        <f>+AY46-(+AW46+AS46+AN46)+BX46</f>
        <v/>
      </c>
      <c r="AY46" s="35">
        <f>+'실적 Raw Data'!AT46</f>
        <v/>
      </c>
      <c r="AZ46" s="35">
        <f>+'실적 Raw Data'!X46+'실적 Raw Data'!Y46+'실적 Raw Data'!Z46</f>
        <v/>
      </c>
      <c r="BA46" s="35">
        <f>+'실적 Raw Data'!S46</f>
        <v/>
      </c>
      <c r="BB46" s="35">
        <f>'실적 Raw Data'!W46</f>
        <v/>
      </c>
      <c r="BC46" s="35">
        <f>+'실적 Raw Data'!G46</f>
        <v/>
      </c>
      <c r="BD46" s="35">
        <f>+'실적 Raw Data'!CS46</f>
        <v/>
      </c>
      <c r="BE46" s="35">
        <f>+'실적 Raw Data'!CT46</f>
        <v/>
      </c>
      <c r="BF46" s="35">
        <f>+'실적 Raw Data'!CW46</f>
        <v/>
      </c>
      <c r="BG46" s="35">
        <f>+'실적 Raw Data'!DE46</f>
        <v/>
      </c>
      <c r="BH46" s="35">
        <f>+'실적 Raw Data'!DH46</f>
        <v/>
      </c>
      <c r="BI46" s="35">
        <f>+'실적 Raw Data'!DJ46</f>
        <v/>
      </c>
      <c r="BJ46" s="35">
        <f>+'실적 Raw Data'!DL46</f>
        <v/>
      </c>
      <c r="BK46" s="35">
        <f>SUM(BD46:BJ46)</f>
        <v/>
      </c>
      <c r="BL46" s="35">
        <f>+'실적 Raw Data'!BY46+'실적 Raw Data'!BZ46+'실적 Raw Data'!CA46+'실적 Raw Data'!CB46+'실적 Raw Data'!CC46+'실적 Raw Data'!CD46+'실적 Raw Data'!CE46+'실적 Raw Data'!CF46</f>
        <v/>
      </c>
      <c r="BM46" s="35">
        <f>+'실적 Raw Data'!CH46</f>
        <v/>
      </c>
      <c r="BN46" s="35">
        <f>'실적 Raw Data'!CR46</f>
        <v/>
      </c>
      <c r="BO46" s="35">
        <f>+'실적 Raw Data'!CU46</f>
        <v/>
      </c>
      <c r="BP46" s="35">
        <f>+BQ46-BL46-BM46-BN46-BO46</f>
        <v/>
      </c>
      <c r="BQ46" s="35">
        <f>+BR46-BK46</f>
        <v/>
      </c>
      <c r="BR46" s="35">
        <f>+'실적 Raw Data'!T46</f>
        <v/>
      </c>
      <c r="BS46" s="35">
        <f>BT46-BR46</f>
        <v/>
      </c>
      <c r="BT46" s="35">
        <f>+'실적 Raw Data'!BP46</f>
        <v/>
      </c>
      <c r="BU46" s="35">
        <f>+V46-BA46-BR46</f>
        <v/>
      </c>
      <c r="BV46" s="35">
        <f>+X46-BC46-BT46</f>
        <v/>
      </c>
      <c r="BW46" s="35">
        <f>IF(OR(LEFT(J47,1)="R", LEFT(J47,3)="QZZ"),0, '실적 Raw Data'!M46)</f>
        <v/>
      </c>
      <c r="BX46" s="35">
        <f>'실적 Raw Data'!V46</f>
        <v/>
      </c>
      <c r="BY46" s="27">
        <f>IF(OR(N47="V전지:SET",N47="V전지:set/oe"),BW46*22.9,BW46)</f>
        <v/>
      </c>
    </row>
    <row r="47">
      <c r="A47" s="19">
        <f>RIGHT('실적 Raw Data'!C47,4)&amp;"년"</f>
        <v/>
      </c>
      <c r="B47" s="19">
        <f>TRIM(MID('실적 Raw Data'!C47,9,4))</f>
        <v/>
      </c>
      <c r="C47" s="20">
        <f>IF(LEFT('실적 Raw Data'!A47,5)*1=20313,"차량",IF(LEFT('실적 Raw Data'!A47,5)*1=20314,"차량",IF(LEFT('실적 Raw Data'!A47,5)*1=20342,"산전","산전")))</f>
        <v/>
      </c>
      <c r="D47" s="19">
        <f>IF(LEFT('실적 Raw Data'!A47,5)*1=20342,"모티브",IF(LEFT('실적 Raw Data'!A47,5)*1=20345,"고정형",IF(LEFT('실적 Raw Data'!A47,5)*1=20313,"차량대리점","차량OE")))</f>
        <v/>
      </c>
      <c r="E47" s="21">
        <f>VLOOKUP($D47&amp;$H47,[1]지점코드!$A:$F,4,0)</f>
        <v/>
      </c>
      <c r="F47" s="21">
        <f>VLOOKUP($D47&amp;$H47,[1]지점코드!$A:$F,5,0)</f>
        <v/>
      </c>
      <c r="G47" s="21">
        <f>VLOOKUP($D47&amp;$H47,[1]지점코드!$A:$F,6,0)</f>
        <v/>
      </c>
      <c r="H47" s="19">
        <f>LEFT('실적 Raw Data'!E47,7)</f>
        <v/>
      </c>
      <c r="I47" s="19">
        <f>SUBSTITUTE((SUBSTITUTE('실적 Raw Data'!E47,H47,"")),"    ","")</f>
        <v/>
      </c>
      <c r="J47" s="19">
        <f>TRIM(LEFT('실적 Raw Data'!B47,11))</f>
        <v/>
      </c>
      <c r="K47" s="19">
        <f>TRIM((SUBSTITUTE('실적 Raw Data'!B47,J47,"")))</f>
        <v/>
      </c>
      <c r="L47" s="22">
        <f>IF(D47="모티브",VLOOKUP(C47&amp;J47,[1]제품분류!$A:$J,4,0),IF(D47="고정형",VLOOKUP(C47&amp;J47,[1]제품분류!$A:$J,4,0),IF(D47="차량대리점",VLOOKUP("차량대리점"&amp;J47,[1]제품분류!$A:$J,4,0),IF(D47="차량OE",VLOOKUP("차량OE"&amp;J47,[1]제품분류!$A:$J,4,0)))))</f>
        <v/>
      </c>
      <c r="M47" s="22">
        <f>IF(D47="모티브",VLOOKUP("산전"&amp;J47,[1]제품분류!$A:$J,5,0),IF(D47="고정형",VLOOKUP(C47&amp;J47,[1]제품분류!$A:$J,5,0),IF(D47="차량대리점",VLOOKUP("차량대리점"&amp;J47,[1]제품분류!$A:$J,5,0),IF(D47="차량OE", VLOOKUP(C47&amp;J47,[1]제품분류!$A:$J,5,0)))))</f>
        <v/>
      </c>
      <c r="N47" s="19">
        <f>IF(D47="모티브",VLOOKUP("산전"&amp;J47,[1]제품분류!$A:$J,6,0),IF(D47="고정형",VLOOKUP("산전"&amp;J47,[1]제품분류!$A:$J,6,0),IF(D47="차량대리점",VLOOKUP("차량대리점"&amp;J47,[1]제품분류!$A:$J,6,0))))</f>
        <v/>
      </c>
      <c r="O47" s="19">
        <f>IF(D47="모티브",VLOOKUP("산전"&amp;J47,[1]제품분류!$A:$J,7,0),IF(D47="고정형",VLOOKUP("산전"&amp;J47,[1]제품분류!$A:$J,7,0),IF(D47="차량대리점",VLOOKUP("차량대리점"&amp;J47,[1]제품분류!$A:$J,7,0),IF(D47="차량OE", VLOOKUP(D47&amp;J47,[1]제품분류!$A:$J,7,0)))))</f>
        <v/>
      </c>
      <c r="P47" s="19">
        <f>IF(D47="모티브",VLOOKUP("산전"&amp;J47,[1]제품분류!$A:$J,8,0),IF(D47="고정형",VLOOKUP("산전"&amp;J47,[1]제품분류!$A:$J,8,0),IF(D47="차량대리점",VLOOKUP("차량대리점"&amp;J47,[1]제품분류!$A:$J,8,0),IF(D47="차량OE", VLOOKUP(D47&amp;J47,[1]제품분류!$A:$J,8,0)))))</f>
        <v/>
      </c>
      <c r="Q47" s="34">
        <f>+'실적 Raw Data'!BN47</f>
        <v/>
      </c>
      <c r="R47" s="34">
        <f>+'실적 Raw Data'!BO47</f>
        <v/>
      </c>
      <c r="S47" s="34">
        <f>+T47-Q47-R47</f>
        <v/>
      </c>
      <c r="T47" s="35">
        <f>'실적 Raw Data'!H47</f>
        <v/>
      </c>
      <c r="U47" s="35">
        <f>'실적 Raw Data'!I47</f>
        <v/>
      </c>
      <c r="V47" s="35">
        <f>+'실적 Raw Data'!R47</f>
        <v/>
      </c>
      <c r="W47" s="35">
        <f>'실적 Raw Data'!J47</f>
        <v/>
      </c>
      <c r="X47" s="35">
        <f>'실적 Raw Data'!F47</f>
        <v/>
      </c>
      <c r="Y47" s="35">
        <f>+'실적 Raw Data'!AV47</f>
        <v/>
      </c>
      <c r="Z47" s="35">
        <f>+'실적 Raw Data'!AW47</f>
        <v/>
      </c>
      <c r="AA47" s="35">
        <f>+'실적 Raw Data'!AX47</f>
        <v/>
      </c>
      <c r="AB47" s="35">
        <f>+'실적 Raw Data'!AY47</f>
        <v/>
      </c>
      <c r="AC47" s="35">
        <f>+'실적 Raw Data'!AZ47</f>
        <v/>
      </c>
      <c r="AD47" s="35">
        <f>+Y47+Z47+AA47+AB47+AC47</f>
        <v/>
      </c>
      <c r="AE47" s="35">
        <f>+'실적 Raw Data'!BA47</f>
        <v/>
      </c>
      <c r="AF47" s="35">
        <f>+'실적 Raw Data'!BB47</f>
        <v/>
      </c>
      <c r="AG47" s="35">
        <f>+'실적 Raw Data'!BC47</f>
        <v/>
      </c>
      <c r="AH47" s="35">
        <f>+AE47+AF47+AG47</f>
        <v/>
      </c>
      <c r="AI47" s="35">
        <f>+'실적 Raw Data'!BD47</f>
        <v/>
      </c>
      <c r="AJ47" s="35">
        <f>+'실적 Raw Data'!BE47</f>
        <v/>
      </c>
      <c r="AK47" s="35">
        <f>+'실적 Raw Data'!BF47</f>
        <v/>
      </c>
      <c r="AL47" s="35">
        <f>+'실적 Raw Data'!BG47</f>
        <v/>
      </c>
      <c r="AM47" s="35">
        <f>+AJ47+AK47+AL47</f>
        <v/>
      </c>
      <c r="AN47" s="35">
        <f>+AD47+AH47+AI47+AM47</f>
        <v/>
      </c>
      <c r="AO47" s="35">
        <f>+'실적 Raw Data'!BH47</f>
        <v/>
      </c>
      <c r="AP47" s="36">
        <f>+'실적 Raw Data'!BJ47</f>
        <v/>
      </c>
      <c r="AQ47" s="35">
        <f>+AO47+AP47</f>
        <v/>
      </c>
      <c r="AR47" s="35">
        <f>+'실적 Raw Data'!BK47</f>
        <v/>
      </c>
      <c r="AS47" s="35">
        <f>+AQ47+AR47</f>
        <v/>
      </c>
      <c r="AT47" s="35">
        <f>+'실적 Raw Data'!BI47</f>
        <v/>
      </c>
      <c r="AU47" s="35">
        <f>+'실적 Raw Data'!BL47</f>
        <v/>
      </c>
      <c r="AV47" s="35">
        <f>+'실적 Raw Data'!BM47</f>
        <v/>
      </c>
      <c r="AW47" s="35">
        <f>SUM(AT47:AV47)</f>
        <v/>
      </c>
      <c r="AX47" s="35">
        <f>+AY47-(+AW47+AS47+AN47)+BX47</f>
        <v/>
      </c>
      <c r="AY47" s="35">
        <f>+'실적 Raw Data'!AT47</f>
        <v/>
      </c>
      <c r="AZ47" s="35">
        <f>+'실적 Raw Data'!X47+'실적 Raw Data'!Y47+'실적 Raw Data'!Z47</f>
        <v/>
      </c>
      <c r="BA47" s="35">
        <f>+'실적 Raw Data'!S47</f>
        <v/>
      </c>
      <c r="BB47" s="35">
        <f>'실적 Raw Data'!W47</f>
        <v/>
      </c>
      <c r="BC47" s="35">
        <f>+'실적 Raw Data'!G47</f>
        <v/>
      </c>
      <c r="BD47" s="35">
        <f>+'실적 Raw Data'!CS47</f>
        <v/>
      </c>
      <c r="BE47" s="35">
        <f>+'실적 Raw Data'!CT47</f>
        <v/>
      </c>
      <c r="BF47" s="35">
        <f>+'실적 Raw Data'!CW47</f>
        <v/>
      </c>
      <c r="BG47" s="35">
        <f>+'실적 Raw Data'!DE47</f>
        <v/>
      </c>
      <c r="BH47" s="35">
        <f>+'실적 Raw Data'!DH47</f>
        <v/>
      </c>
      <c r="BI47" s="35">
        <f>+'실적 Raw Data'!DJ47</f>
        <v/>
      </c>
      <c r="BJ47" s="35">
        <f>+'실적 Raw Data'!DL47</f>
        <v/>
      </c>
      <c r="BK47" s="35">
        <f>SUM(BD47:BJ47)</f>
        <v/>
      </c>
      <c r="BL47" s="35">
        <f>+'실적 Raw Data'!BY47+'실적 Raw Data'!BZ47+'실적 Raw Data'!CA47+'실적 Raw Data'!CB47+'실적 Raw Data'!CC47+'실적 Raw Data'!CD47+'실적 Raw Data'!CE47+'실적 Raw Data'!CF47</f>
        <v/>
      </c>
      <c r="BM47" s="35">
        <f>+'실적 Raw Data'!CH47</f>
        <v/>
      </c>
      <c r="BN47" s="35">
        <f>'실적 Raw Data'!CR47</f>
        <v/>
      </c>
      <c r="BO47" s="35">
        <f>+'실적 Raw Data'!CU47</f>
        <v/>
      </c>
      <c r="BP47" s="35">
        <f>+BQ47-BL47-BM47-BN47-BO47</f>
        <v/>
      </c>
      <c r="BQ47" s="35">
        <f>+BR47-BK47</f>
        <v/>
      </c>
      <c r="BR47" s="35">
        <f>+'실적 Raw Data'!T47</f>
        <v/>
      </c>
      <c r="BS47" s="35">
        <f>BT47-BR47</f>
        <v/>
      </c>
      <c r="BT47" s="35">
        <f>+'실적 Raw Data'!BP47</f>
        <v/>
      </c>
      <c r="BU47" s="35">
        <f>+V47-BA47-BR47</f>
        <v/>
      </c>
      <c r="BV47" s="35">
        <f>+X47-BC47-BT47</f>
        <v/>
      </c>
      <c r="BW47" s="35">
        <f>IF(OR(LEFT(J48,1)="R", LEFT(J48,3)="QZZ"),0, '실적 Raw Data'!M47)</f>
        <v/>
      </c>
      <c r="BX47" s="35">
        <f>'실적 Raw Data'!V47</f>
        <v/>
      </c>
      <c r="BY47" s="27">
        <f>IF(OR(N48="V전지:SET",N48="V전지:set/oe"),BW47*22.9,BW47)</f>
        <v/>
      </c>
    </row>
    <row r="48">
      <c r="A48" s="19">
        <f>RIGHT('실적 Raw Data'!C48,4)&amp;"년"</f>
        <v/>
      </c>
      <c r="B48" s="19">
        <f>TRIM(MID('실적 Raw Data'!C48,9,4))</f>
        <v/>
      </c>
      <c r="C48" s="20">
        <f>IF(LEFT('실적 Raw Data'!A48,5)*1=20313,"차량",IF(LEFT('실적 Raw Data'!A48,5)*1=20314,"차량",IF(LEFT('실적 Raw Data'!A48,5)*1=20342,"산전","산전")))</f>
        <v/>
      </c>
      <c r="D48" s="19">
        <f>IF(LEFT('실적 Raw Data'!A48,5)*1=20342,"모티브",IF(LEFT('실적 Raw Data'!A48,5)*1=20345,"고정형",IF(LEFT('실적 Raw Data'!A48,5)*1=20313,"차량대리점","차량OE")))</f>
        <v/>
      </c>
      <c r="E48" s="21">
        <f>VLOOKUP($D48&amp;$H48,[1]지점코드!$A:$F,4,0)</f>
        <v/>
      </c>
      <c r="F48" s="21">
        <f>VLOOKUP($D48&amp;$H48,[1]지점코드!$A:$F,5,0)</f>
        <v/>
      </c>
      <c r="G48" s="21">
        <f>VLOOKUP($D48&amp;$H48,[1]지점코드!$A:$F,6,0)</f>
        <v/>
      </c>
      <c r="H48" s="19">
        <f>LEFT('실적 Raw Data'!E48,7)</f>
        <v/>
      </c>
      <c r="I48" s="19">
        <f>SUBSTITUTE((SUBSTITUTE('실적 Raw Data'!E48,H48,"")),"    ","")</f>
        <v/>
      </c>
      <c r="J48" s="19">
        <f>TRIM(LEFT('실적 Raw Data'!B48,11))</f>
        <v/>
      </c>
      <c r="K48" s="19">
        <f>TRIM((SUBSTITUTE('실적 Raw Data'!B48,J48,"")))</f>
        <v/>
      </c>
      <c r="L48" s="22">
        <f>IF(D48="모티브",VLOOKUP(C48&amp;J48,[1]제품분류!$A:$J,4,0),IF(D48="고정형",VLOOKUP(C48&amp;J48,[1]제품분류!$A:$J,4,0),IF(D48="차량대리점",VLOOKUP("차량대리점"&amp;J48,[1]제품분류!$A:$J,4,0),IF(D48="차량OE",VLOOKUP("차량OE"&amp;J48,[1]제품분류!$A:$J,4,0)))))</f>
        <v/>
      </c>
      <c r="M48" s="22">
        <f>IF(D48="모티브",VLOOKUP("산전"&amp;J48,[1]제품분류!$A:$J,5,0),IF(D48="고정형",VLOOKUP(C48&amp;J48,[1]제품분류!$A:$J,5,0),IF(D48="차량대리점",VLOOKUP("차량대리점"&amp;J48,[1]제품분류!$A:$J,5,0),IF(D48="차량OE", VLOOKUP(C48&amp;J48,[1]제품분류!$A:$J,5,0)))))</f>
        <v/>
      </c>
      <c r="N48" s="19">
        <f>IF(D48="모티브",VLOOKUP("산전"&amp;J48,[1]제품분류!$A:$J,6,0),IF(D48="고정형",VLOOKUP("산전"&amp;J48,[1]제품분류!$A:$J,6,0),IF(D48="차량대리점",VLOOKUP("차량대리점"&amp;J48,[1]제품분류!$A:$J,6,0))))</f>
        <v/>
      </c>
      <c r="O48" s="19">
        <f>IF(D48="모티브",VLOOKUP("산전"&amp;J48,[1]제품분류!$A:$J,7,0),IF(D48="고정형",VLOOKUP("산전"&amp;J48,[1]제품분류!$A:$J,7,0),IF(D48="차량대리점",VLOOKUP("차량대리점"&amp;J48,[1]제품분류!$A:$J,7,0),IF(D48="차량OE", VLOOKUP(D48&amp;J48,[1]제품분류!$A:$J,7,0)))))</f>
        <v/>
      </c>
      <c r="P48" s="19">
        <f>IF(D48="모티브",VLOOKUP("산전"&amp;J48,[1]제품분류!$A:$J,8,0),IF(D48="고정형",VLOOKUP("산전"&amp;J48,[1]제품분류!$A:$J,8,0),IF(D48="차량대리점",VLOOKUP("차량대리점"&amp;J48,[1]제품분류!$A:$J,8,0),IF(D48="차량OE", VLOOKUP(D48&amp;J48,[1]제품분류!$A:$J,8,0)))))</f>
        <v/>
      </c>
      <c r="Q48" s="34">
        <f>+'실적 Raw Data'!BN48</f>
        <v/>
      </c>
      <c r="R48" s="34">
        <f>+'실적 Raw Data'!BO48</f>
        <v/>
      </c>
      <c r="S48" s="34">
        <f>+T48-Q48-R48</f>
        <v/>
      </c>
      <c r="T48" s="35">
        <f>'실적 Raw Data'!H48</f>
        <v/>
      </c>
      <c r="U48" s="35">
        <f>'실적 Raw Data'!I48</f>
        <v/>
      </c>
      <c r="V48" s="35">
        <f>+'실적 Raw Data'!R48</f>
        <v/>
      </c>
      <c r="W48" s="35">
        <f>'실적 Raw Data'!J48</f>
        <v/>
      </c>
      <c r="X48" s="35">
        <f>'실적 Raw Data'!F48</f>
        <v/>
      </c>
      <c r="Y48" s="35">
        <f>+'실적 Raw Data'!AV48</f>
        <v/>
      </c>
      <c r="Z48" s="35">
        <f>+'실적 Raw Data'!AW48</f>
        <v/>
      </c>
      <c r="AA48" s="35">
        <f>+'실적 Raw Data'!AX48</f>
        <v/>
      </c>
      <c r="AB48" s="35">
        <f>+'실적 Raw Data'!AY48</f>
        <v/>
      </c>
      <c r="AC48" s="35">
        <f>+'실적 Raw Data'!AZ48</f>
        <v/>
      </c>
      <c r="AD48" s="35">
        <f>+Y48+Z48+AA48+AB48+AC48</f>
        <v/>
      </c>
      <c r="AE48" s="35">
        <f>+'실적 Raw Data'!BA48</f>
        <v/>
      </c>
      <c r="AF48" s="35">
        <f>+'실적 Raw Data'!BB48</f>
        <v/>
      </c>
      <c r="AG48" s="35">
        <f>+'실적 Raw Data'!BC48</f>
        <v/>
      </c>
      <c r="AH48" s="35">
        <f>+AE48+AF48+AG48</f>
        <v/>
      </c>
      <c r="AI48" s="35">
        <f>+'실적 Raw Data'!BD48</f>
        <v/>
      </c>
      <c r="AJ48" s="35">
        <f>+'실적 Raw Data'!BE48</f>
        <v/>
      </c>
      <c r="AK48" s="35">
        <f>+'실적 Raw Data'!BF48</f>
        <v/>
      </c>
      <c r="AL48" s="35">
        <f>+'실적 Raw Data'!BG48</f>
        <v/>
      </c>
      <c r="AM48" s="35">
        <f>+AJ48+AK48+AL48</f>
        <v/>
      </c>
      <c r="AN48" s="35">
        <f>+AD48+AH48+AI48+AM48</f>
        <v/>
      </c>
      <c r="AO48" s="35">
        <f>+'실적 Raw Data'!BH48</f>
        <v/>
      </c>
      <c r="AP48" s="36">
        <f>+'실적 Raw Data'!BJ48</f>
        <v/>
      </c>
      <c r="AQ48" s="35">
        <f>+AO48+AP48</f>
        <v/>
      </c>
      <c r="AR48" s="35">
        <f>+'실적 Raw Data'!BK48</f>
        <v/>
      </c>
      <c r="AS48" s="35">
        <f>+AQ48+AR48</f>
        <v/>
      </c>
      <c r="AT48" s="35">
        <f>+'실적 Raw Data'!BI48</f>
        <v/>
      </c>
      <c r="AU48" s="35">
        <f>+'실적 Raw Data'!BL48</f>
        <v/>
      </c>
      <c r="AV48" s="35">
        <f>+'실적 Raw Data'!BM48</f>
        <v/>
      </c>
      <c r="AW48" s="35">
        <f>SUM(AT48:AV48)</f>
        <v/>
      </c>
      <c r="AX48" s="35">
        <f>+AY48-(+AW48+AS48+AN48)+BX48</f>
        <v/>
      </c>
      <c r="AY48" s="35">
        <f>+'실적 Raw Data'!AT48</f>
        <v/>
      </c>
      <c r="AZ48" s="35">
        <f>+'실적 Raw Data'!X48+'실적 Raw Data'!Y48+'실적 Raw Data'!Z48</f>
        <v/>
      </c>
      <c r="BA48" s="35">
        <f>+'실적 Raw Data'!S48</f>
        <v/>
      </c>
      <c r="BB48" s="35">
        <f>'실적 Raw Data'!W48</f>
        <v/>
      </c>
      <c r="BC48" s="35">
        <f>+'실적 Raw Data'!G48</f>
        <v/>
      </c>
      <c r="BD48" s="35">
        <f>+'실적 Raw Data'!CS48</f>
        <v/>
      </c>
      <c r="BE48" s="35">
        <f>+'실적 Raw Data'!CT48</f>
        <v/>
      </c>
      <c r="BF48" s="35">
        <f>+'실적 Raw Data'!CW48</f>
        <v/>
      </c>
      <c r="BG48" s="35">
        <f>+'실적 Raw Data'!DE48</f>
        <v/>
      </c>
      <c r="BH48" s="35">
        <f>+'실적 Raw Data'!DH48</f>
        <v/>
      </c>
      <c r="BI48" s="35">
        <f>+'실적 Raw Data'!DJ48</f>
        <v/>
      </c>
      <c r="BJ48" s="35">
        <f>+'실적 Raw Data'!DL48</f>
        <v/>
      </c>
      <c r="BK48" s="35">
        <f>SUM(BD48:BJ48)</f>
        <v/>
      </c>
      <c r="BL48" s="35">
        <f>+'실적 Raw Data'!BY48+'실적 Raw Data'!BZ48+'실적 Raw Data'!CA48+'실적 Raw Data'!CB48+'실적 Raw Data'!CC48+'실적 Raw Data'!CD48+'실적 Raw Data'!CE48+'실적 Raw Data'!CF48</f>
        <v/>
      </c>
      <c r="BM48" s="35">
        <f>+'실적 Raw Data'!CH48</f>
        <v/>
      </c>
      <c r="BN48" s="35">
        <f>'실적 Raw Data'!CR48</f>
        <v/>
      </c>
      <c r="BO48" s="35">
        <f>+'실적 Raw Data'!CU48</f>
        <v/>
      </c>
      <c r="BP48" s="35">
        <f>+BQ48-BL48-BM48-BN48-BO48</f>
        <v/>
      </c>
      <c r="BQ48" s="35">
        <f>+BR48-BK48</f>
        <v/>
      </c>
      <c r="BR48" s="35">
        <f>+'실적 Raw Data'!T48</f>
        <v/>
      </c>
      <c r="BS48" s="35">
        <f>BT48-BR48</f>
        <v/>
      </c>
      <c r="BT48" s="35">
        <f>+'실적 Raw Data'!BP48</f>
        <v/>
      </c>
      <c r="BU48" s="35">
        <f>+V48-BA48-BR48</f>
        <v/>
      </c>
      <c r="BV48" s="35">
        <f>+X48-BC48-BT48</f>
        <v/>
      </c>
      <c r="BW48" s="35">
        <f>IF(OR(LEFT(J49,1)="R", LEFT(J49,3)="QZZ"),0, '실적 Raw Data'!M48)</f>
        <v/>
      </c>
      <c r="BX48" s="35">
        <f>'실적 Raw Data'!V48</f>
        <v/>
      </c>
      <c r="BY48" s="27">
        <f>IF(OR(N49="V전지:SET",N49="V전지:set/oe"),BW48*22.9,BW48)</f>
        <v/>
      </c>
    </row>
    <row r="49">
      <c r="A49" s="19">
        <f>RIGHT('실적 Raw Data'!C49,4)&amp;"년"</f>
        <v/>
      </c>
      <c r="B49" s="19">
        <f>TRIM(MID('실적 Raw Data'!C49,9,4))</f>
        <v/>
      </c>
      <c r="C49" s="20">
        <f>IF(LEFT('실적 Raw Data'!A49,5)*1=20313,"차량",IF(LEFT('실적 Raw Data'!A49,5)*1=20314,"차량",IF(LEFT('실적 Raw Data'!A49,5)*1=20342,"산전","산전")))</f>
        <v/>
      </c>
      <c r="D49" s="19">
        <f>IF(LEFT('실적 Raw Data'!A49,5)*1=20342,"모티브",IF(LEFT('실적 Raw Data'!A49,5)*1=20345,"고정형",IF(LEFT('실적 Raw Data'!A49,5)*1=20313,"차량대리점","차량OE")))</f>
        <v/>
      </c>
      <c r="E49" s="21">
        <f>VLOOKUP($D49&amp;$H49,[1]지점코드!$A:$F,4,0)</f>
        <v/>
      </c>
      <c r="F49" s="21">
        <f>VLOOKUP($D49&amp;$H49,[1]지점코드!$A:$F,5,0)</f>
        <v/>
      </c>
      <c r="G49" s="21">
        <f>VLOOKUP($D49&amp;$H49,[1]지점코드!$A:$F,6,0)</f>
        <v/>
      </c>
      <c r="H49" s="19">
        <f>LEFT('실적 Raw Data'!E49,7)</f>
        <v/>
      </c>
      <c r="I49" s="19">
        <f>SUBSTITUTE((SUBSTITUTE('실적 Raw Data'!E49,H49,"")),"    ","")</f>
        <v/>
      </c>
      <c r="J49" s="19">
        <f>TRIM(LEFT('실적 Raw Data'!B49,11))</f>
        <v/>
      </c>
      <c r="K49" s="19">
        <f>TRIM((SUBSTITUTE('실적 Raw Data'!B49,J49,"")))</f>
        <v/>
      </c>
      <c r="L49" s="22">
        <f>IF(D49="모티브",VLOOKUP(C49&amp;J49,[1]제품분류!$A:$J,4,0),IF(D49="고정형",VLOOKUP(C49&amp;J49,[1]제품분류!$A:$J,4,0),IF(D49="차량대리점",VLOOKUP("차량대리점"&amp;J49,[1]제품분류!$A:$J,4,0),IF(D49="차량OE",VLOOKUP("차량OE"&amp;J49,[1]제품분류!$A:$J,4,0)))))</f>
        <v/>
      </c>
      <c r="M49" s="22">
        <f>IF(D49="모티브",VLOOKUP("산전"&amp;J49,[1]제품분류!$A:$J,5,0),IF(D49="고정형",VLOOKUP(C49&amp;J49,[1]제품분류!$A:$J,5,0),IF(D49="차량대리점",VLOOKUP("차량대리점"&amp;J49,[1]제품분류!$A:$J,5,0),IF(D49="차량OE", VLOOKUP(C49&amp;J49,[1]제품분류!$A:$J,5,0)))))</f>
        <v/>
      </c>
      <c r="N49" s="19">
        <f>IF(D49="모티브",VLOOKUP("산전"&amp;J49,[1]제품분류!$A:$J,6,0),IF(D49="고정형",VLOOKUP("산전"&amp;J49,[1]제품분류!$A:$J,6,0),IF(D49="차량대리점",VLOOKUP("차량대리점"&amp;J49,[1]제품분류!$A:$J,6,0))))</f>
        <v/>
      </c>
      <c r="O49" s="19">
        <f>IF(D49="모티브",VLOOKUP("산전"&amp;J49,[1]제품분류!$A:$J,7,0),IF(D49="고정형",VLOOKUP("산전"&amp;J49,[1]제품분류!$A:$J,7,0),IF(D49="차량대리점",VLOOKUP("차량대리점"&amp;J49,[1]제품분류!$A:$J,7,0),IF(D49="차량OE", VLOOKUP(D49&amp;J49,[1]제품분류!$A:$J,7,0)))))</f>
        <v/>
      </c>
      <c r="P49" s="19">
        <f>IF(D49="모티브",VLOOKUP("산전"&amp;J49,[1]제품분류!$A:$J,8,0),IF(D49="고정형",VLOOKUP("산전"&amp;J49,[1]제품분류!$A:$J,8,0),IF(D49="차량대리점",VLOOKUP("차량대리점"&amp;J49,[1]제품분류!$A:$J,8,0),IF(D49="차량OE", VLOOKUP(D49&amp;J49,[1]제품분류!$A:$J,8,0)))))</f>
        <v/>
      </c>
      <c r="Q49" s="34">
        <f>+'실적 Raw Data'!BN49</f>
        <v/>
      </c>
      <c r="R49" s="34">
        <f>+'실적 Raw Data'!BO49</f>
        <v/>
      </c>
      <c r="S49" s="34">
        <f>+T49-Q49-R49</f>
        <v/>
      </c>
      <c r="T49" s="35">
        <f>'실적 Raw Data'!H49</f>
        <v/>
      </c>
      <c r="U49" s="35">
        <f>'실적 Raw Data'!I49</f>
        <v/>
      </c>
      <c r="V49" s="35">
        <f>+'실적 Raw Data'!R49</f>
        <v/>
      </c>
      <c r="W49" s="35">
        <f>'실적 Raw Data'!J49</f>
        <v/>
      </c>
      <c r="X49" s="35">
        <f>'실적 Raw Data'!F49</f>
        <v/>
      </c>
      <c r="Y49" s="35">
        <f>+'실적 Raw Data'!AV49</f>
        <v/>
      </c>
      <c r="Z49" s="35">
        <f>+'실적 Raw Data'!AW49</f>
        <v/>
      </c>
      <c r="AA49" s="35">
        <f>+'실적 Raw Data'!AX49</f>
        <v/>
      </c>
      <c r="AB49" s="35">
        <f>+'실적 Raw Data'!AY49</f>
        <v/>
      </c>
      <c r="AC49" s="35">
        <f>+'실적 Raw Data'!AZ49</f>
        <v/>
      </c>
      <c r="AD49" s="35">
        <f>+Y49+Z49+AA49+AB49+AC49</f>
        <v/>
      </c>
      <c r="AE49" s="35">
        <f>+'실적 Raw Data'!BA49</f>
        <v/>
      </c>
      <c r="AF49" s="35">
        <f>+'실적 Raw Data'!BB49</f>
        <v/>
      </c>
      <c r="AG49" s="35">
        <f>+'실적 Raw Data'!BC49</f>
        <v/>
      </c>
      <c r="AH49" s="35">
        <f>+AE49+AF49+AG49</f>
        <v/>
      </c>
      <c r="AI49" s="35">
        <f>+'실적 Raw Data'!BD49</f>
        <v/>
      </c>
      <c r="AJ49" s="35">
        <f>+'실적 Raw Data'!BE49</f>
        <v/>
      </c>
      <c r="AK49" s="35">
        <f>+'실적 Raw Data'!BF49</f>
        <v/>
      </c>
      <c r="AL49" s="35">
        <f>+'실적 Raw Data'!BG49</f>
        <v/>
      </c>
      <c r="AM49" s="35">
        <f>+AJ49+AK49+AL49</f>
        <v/>
      </c>
      <c r="AN49" s="35">
        <f>+AD49+AH49+AI49+AM49</f>
        <v/>
      </c>
      <c r="AO49" s="35">
        <f>+'실적 Raw Data'!BH49</f>
        <v/>
      </c>
      <c r="AP49" s="36">
        <f>+'실적 Raw Data'!BJ49</f>
        <v/>
      </c>
      <c r="AQ49" s="35">
        <f>+AO49+AP49</f>
        <v/>
      </c>
      <c r="AR49" s="35">
        <f>+'실적 Raw Data'!BK49</f>
        <v/>
      </c>
      <c r="AS49" s="35">
        <f>+AQ49+AR49</f>
        <v/>
      </c>
      <c r="AT49" s="35">
        <f>+'실적 Raw Data'!BI49</f>
        <v/>
      </c>
      <c r="AU49" s="35">
        <f>+'실적 Raw Data'!BL49</f>
        <v/>
      </c>
      <c r="AV49" s="35">
        <f>+'실적 Raw Data'!BM49</f>
        <v/>
      </c>
      <c r="AW49" s="35">
        <f>SUM(AT49:AV49)</f>
        <v/>
      </c>
      <c r="AX49" s="35">
        <f>+AY49-(+AW49+AS49+AN49)+BX49</f>
        <v/>
      </c>
      <c r="AY49" s="35">
        <f>+'실적 Raw Data'!AT49</f>
        <v/>
      </c>
      <c r="AZ49" s="35">
        <f>+'실적 Raw Data'!X49+'실적 Raw Data'!Y49+'실적 Raw Data'!Z49</f>
        <v/>
      </c>
      <c r="BA49" s="35">
        <f>+'실적 Raw Data'!S49</f>
        <v/>
      </c>
      <c r="BB49" s="35">
        <f>'실적 Raw Data'!W49</f>
        <v/>
      </c>
      <c r="BC49" s="35">
        <f>+'실적 Raw Data'!G49</f>
        <v/>
      </c>
      <c r="BD49" s="35">
        <f>+'실적 Raw Data'!CS49</f>
        <v/>
      </c>
      <c r="BE49" s="35">
        <f>+'실적 Raw Data'!CT49</f>
        <v/>
      </c>
      <c r="BF49" s="35">
        <f>+'실적 Raw Data'!CW49</f>
        <v/>
      </c>
      <c r="BG49" s="35">
        <f>+'실적 Raw Data'!DE49</f>
        <v/>
      </c>
      <c r="BH49" s="35">
        <f>+'실적 Raw Data'!DH49</f>
        <v/>
      </c>
      <c r="BI49" s="35">
        <f>+'실적 Raw Data'!DJ49</f>
        <v/>
      </c>
      <c r="BJ49" s="35">
        <f>+'실적 Raw Data'!DL49</f>
        <v/>
      </c>
      <c r="BK49" s="35">
        <f>SUM(BD49:BJ49)</f>
        <v/>
      </c>
      <c r="BL49" s="35">
        <f>+'실적 Raw Data'!BY49+'실적 Raw Data'!BZ49+'실적 Raw Data'!CA49+'실적 Raw Data'!CB49+'실적 Raw Data'!CC49+'실적 Raw Data'!CD49+'실적 Raw Data'!CE49+'실적 Raw Data'!CF49</f>
        <v/>
      </c>
      <c r="BM49" s="35">
        <f>+'실적 Raw Data'!CH49</f>
        <v/>
      </c>
      <c r="BN49" s="35">
        <f>'실적 Raw Data'!CR49</f>
        <v/>
      </c>
      <c r="BO49" s="35">
        <f>+'실적 Raw Data'!CU49</f>
        <v/>
      </c>
      <c r="BP49" s="35">
        <f>+BQ49-BL49-BM49-BN49-BO49</f>
        <v/>
      </c>
      <c r="BQ49" s="35">
        <f>+BR49-BK49</f>
        <v/>
      </c>
      <c r="BR49" s="35">
        <f>+'실적 Raw Data'!T49</f>
        <v/>
      </c>
      <c r="BS49" s="35">
        <f>BT49-BR49</f>
        <v/>
      </c>
      <c r="BT49" s="35">
        <f>+'실적 Raw Data'!BP49</f>
        <v/>
      </c>
      <c r="BU49" s="35">
        <f>+V49-BA49-BR49</f>
        <v/>
      </c>
      <c r="BV49" s="35">
        <f>+X49-BC49-BT49</f>
        <v/>
      </c>
      <c r="BW49" s="35">
        <f>IF(OR(LEFT(J50,1)="R", LEFT(J50,3)="QZZ"),0, '실적 Raw Data'!M49)</f>
        <v/>
      </c>
      <c r="BX49" s="35">
        <f>'실적 Raw Data'!V49</f>
        <v/>
      </c>
      <c r="BY49" s="27">
        <f>IF(OR(N50="V전지:SET",N50="V전지:set/oe"),BW49*22.9,BW49)</f>
        <v/>
      </c>
    </row>
    <row r="50">
      <c r="A50" s="19">
        <f>RIGHT('실적 Raw Data'!C50,4)&amp;"년"</f>
        <v/>
      </c>
      <c r="B50" s="19">
        <f>TRIM(MID('실적 Raw Data'!C50,9,4))</f>
        <v/>
      </c>
      <c r="C50" s="20">
        <f>IF(LEFT('실적 Raw Data'!A50,5)*1=20313,"차량",IF(LEFT('실적 Raw Data'!A50,5)*1=20314,"차량",IF(LEFT('실적 Raw Data'!A50,5)*1=20342,"산전","산전")))</f>
        <v/>
      </c>
      <c r="D50" s="19">
        <f>IF(LEFT('실적 Raw Data'!A50,5)*1=20342,"모티브",IF(LEFT('실적 Raw Data'!A50,5)*1=20345,"고정형",IF(LEFT('실적 Raw Data'!A50,5)*1=20313,"차량대리점","차량OE")))</f>
        <v/>
      </c>
      <c r="E50" s="21">
        <f>VLOOKUP($D50&amp;$H50,[1]지점코드!$A:$F,4,0)</f>
        <v/>
      </c>
      <c r="F50" s="21">
        <f>VLOOKUP($D50&amp;$H50,[1]지점코드!$A:$F,5,0)</f>
        <v/>
      </c>
      <c r="G50" s="21">
        <f>VLOOKUP($D50&amp;$H50,[1]지점코드!$A:$F,6,0)</f>
        <v/>
      </c>
      <c r="H50" s="19">
        <f>LEFT('실적 Raw Data'!E50,7)</f>
        <v/>
      </c>
      <c r="I50" s="19">
        <f>SUBSTITUTE((SUBSTITUTE('실적 Raw Data'!E50,H50,"")),"    ","")</f>
        <v/>
      </c>
      <c r="J50" s="19">
        <f>TRIM(LEFT('실적 Raw Data'!B50,11))</f>
        <v/>
      </c>
      <c r="K50" s="19">
        <f>TRIM((SUBSTITUTE('실적 Raw Data'!B50,J50,"")))</f>
        <v/>
      </c>
      <c r="L50" s="22">
        <f>IF(D50="모티브",VLOOKUP(C50&amp;J50,[1]제품분류!$A:$J,4,0),IF(D50="고정형",VLOOKUP(C50&amp;J50,[1]제품분류!$A:$J,4,0),IF(D50="차량대리점",VLOOKUP("차량대리점"&amp;J50,[1]제품분류!$A:$J,4,0),IF(D50="차량OE",VLOOKUP("차량OE"&amp;J50,[1]제품분류!$A:$J,4,0)))))</f>
        <v/>
      </c>
      <c r="M50" s="22">
        <f>IF(D50="모티브",VLOOKUP("산전"&amp;J50,[1]제품분류!$A:$J,5,0),IF(D50="고정형",VLOOKUP(C50&amp;J50,[1]제품분류!$A:$J,5,0),IF(D50="차량대리점",VLOOKUP("차량대리점"&amp;J50,[1]제품분류!$A:$J,5,0),IF(D50="차량OE", VLOOKUP(C50&amp;J50,[1]제품분류!$A:$J,5,0)))))</f>
        <v/>
      </c>
      <c r="N50" s="19">
        <f>IF(D50="모티브",VLOOKUP("산전"&amp;J50,[1]제품분류!$A:$J,6,0),IF(D50="고정형",VLOOKUP("산전"&amp;J50,[1]제품분류!$A:$J,6,0),IF(D50="차량대리점",VLOOKUP("차량대리점"&amp;J50,[1]제품분류!$A:$J,6,0))))</f>
        <v/>
      </c>
      <c r="O50" s="19">
        <f>IF(D50="모티브",VLOOKUP("산전"&amp;J50,[1]제품분류!$A:$J,7,0),IF(D50="고정형",VLOOKUP("산전"&amp;J50,[1]제품분류!$A:$J,7,0),IF(D50="차량대리점",VLOOKUP("차량대리점"&amp;J50,[1]제품분류!$A:$J,7,0),IF(D50="차량OE", VLOOKUP(D50&amp;J50,[1]제품분류!$A:$J,7,0)))))</f>
        <v/>
      </c>
      <c r="P50" s="19">
        <f>IF(D50="모티브",VLOOKUP("산전"&amp;J50,[1]제품분류!$A:$J,8,0),IF(D50="고정형",VLOOKUP("산전"&amp;J50,[1]제품분류!$A:$J,8,0),IF(D50="차량대리점",VLOOKUP("차량대리점"&amp;J50,[1]제품분류!$A:$J,8,0),IF(D50="차량OE", VLOOKUP(D50&amp;J50,[1]제품분류!$A:$J,8,0)))))</f>
        <v/>
      </c>
      <c r="Q50" s="34">
        <f>+'실적 Raw Data'!BN50</f>
        <v/>
      </c>
      <c r="R50" s="34">
        <f>+'실적 Raw Data'!BO50</f>
        <v/>
      </c>
      <c r="S50" s="34">
        <f>+T50-Q50-R50</f>
        <v/>
      </c>
      <c r="T50" s="35">
        <f>'실적 Raw Data'!H50</f>
        <v/>
      </c>
      <c r="U50" s="35">
        <f>'실적 Raw Data'!I50</f>
        <v/>
      </c>
      <c r="V50" s="35">
        <f>+'실적 Raw Data'!R50</f>
        <v/>
      </c>
      <c r="W50" s="35">
        <f>'실적 Raw Data'!J50</f>
        <v/>
      </c>
      <c r="X50" s="35">
        <f>'실적 Raw Data'!F50</f>
        <v/>
      </c>
      <c r="Y50" s="35">
        <f>+'실적 Raw Data'!AV50</f>
        <v/>
      </c>
      <c r="Z50" s="35">
        <f>+'실적 Raw Data'!AW50</f>
        <v/>
      </c>
      <c r="AA50" s="35">
        <f>+'실적 Raw Data'!AX50</f>
        <v/>
      </c>
      <c r="AB50" s="35">
        <f>+'실적 Raw Data'!AY50</f>
        <v/>
      </c>
      <c r="AC50" s="35">
        <f>+'실적 Raw Data'!AZ50</f>
        <v/>
      </c>
      <c r="AD50" s="35">
        <f>+Y50+Z50+AA50+AB50+AC50</f>
        <v/>
      </c>
      <c r="AE50" s="35">
        <f>+'실적 Raw Data'!BA50</f>
        <v/>
      </c>
      <c r="AF50" s="35">
        <f>+'실적 Raw Data'!BB50</f>
        <v/>
      </c>
      <c r="AG50" s="35">
        <f>+'실적 Raw Data'!BC50</f>
        <v/>
      </c>
      <c r="AH50" s="35">
        <f>+AE50+AF50+AG50</f>
        <v/>
      </c>
      <c r="AI50" s="35">
        <f>+'실적 Raw Data'!BD50</f>
        <v/>
      </c>
      <c r="AJ50" s="35">
        <f>+'실적 Raw Data'!BE50</f>
        <v/>
      </c>
      <c r="AK50" s="35">
        <f>+'실적 Raw Data'!BF50</f>
        <v/>
      </c>
      <c r="AL50" s="35">
        <f>+'실적 Raw Data'!BG50</f>
        <v/>
      </c>
      <c r="AM50" s="35">
        <f>+AJ50+AK50+AL50</f>
        <v/>
      </c>
      <c r="AN50" s="35">
        <f>+AD50+AH50+AI50+AM50</f>
        <v/>
      </c>
      <c r="AO50" s="35">
        <f>+'실적 Raw Data'!BH50</f>
        <v/>
      </c>
      <c r="AP50" s="36">
        <f>+'실적 Raw Data'!BJ50</f>
        <v/>
      </c>
      <c r="AQ50" s="35">
        <f>+AO50+AP50</f>
        <v/>
      </c>
      <c r="AR50" s="35">
        <f>+'실적 Raw Data'!BK50</f>
        <v/>
      </c>
      <c r="AS50" s="35">
        <f>+AQ50+AR50</f>
        <v/>
      </c>
      <c r="AT50" s="35">
        <f>+'실적 Raw Data'!BI50</f>
        <v/>
      </c>
      <c r="AU50" s="35">
        <f>+'실적 Raw Data'!BL50</f>
        <v/>
      </c>
      <c r="AV50" s="35">
        <f>+'실적 Raw Data'!BM50</f>
        <v/>
      </c>
      <c r="AW50" s="35">
        <f>SUM(AT50:AV50)</f>
        <v/>
      </c>
      <c r="AX50" s="35">
        <f>+AY50-(+AW50+AS50+AN50)+BX50</f>
        <v/>
      </c>
      <c r="AY50" s="35">
        <f>+'실적 Raw Data'!AT50</f>
        <v/>
      </c>
      <c r="AZ50" s="35">
        <f>+'실적 Raw Data'!X50+'실적 Raw Data'!Y50+'실적 Raw Data'!Z50</f>
        <v/>
      </c>
      <c r="BA50" s="35">
        <f>+'실적 Raw Data'!S50</f>
        <v/>
      </c>
      <c r="BB50" s="35">
        <f>'실적 Raw Data'!W50</f>
        <v/>
      </c>
      <c r="BC50" s="35">
        <f>+'실적 Raw Data'!G50</f>
        <v/>
      </c>
      <c r="BD50" s="35">
        <f>+'실적 Raw Data'!CS50</f>
        <v/>
      </c>
      <c r="BE50" s="35">
        <f>+'실적 Raw Data'!CT50</f>
        <v/>
      </c>
      <c r="BF50" s="35">
        <f>+'실적 Raw Data'!CW50</f>
        <v/>
      </c>
      <c r="BG50" s="35">
        <f>+'실적 Raw Data'!DE50</f>
        <v/>
      </c>
      <c r="BH50" s="35">
        <f>+'실적 Raw Data'!DH50</f>
        <v/>
      </c>
      <c r="BI50" s="35">
        <f>+'실적 Raw Data'!DJ50</f>
        <v/>
      </c>
      <c r="BJ50" s="35">
        <f>+'실적 Raw Data'!DL50</f>
        <v/>
      </c>
      <c r="BK50" s="35">
        <f>SUM(BD50:BJ50)</f>
        <v/>
      </c>
      <c r="BL50" s="35">
        <f>+'실적 Raw Data'!BY50+'실적 Raw Data'!BZ50+'실적 Raw Data'!CA50+'실적 Raw Data'!CB50+'실적 Raw Data'!CC50+'실적 Raw Data'!CD50+'실적 Raw Data'!CE50+'실적 Raw Data'!CF50</f>
        <v/>
      </c>
      <c r="BM50" s="35">
        <f>+'실적 Raw Data'!CH50</f>
        <v/>
      </c>
      <c r="BN50" s="35">
        <f>'실적 Raw Data'!CR50</f>
        <v/>
      </c>
      <c r="BO50" s="35">
        <f>+'실적 Raw Data'!CU50</f>
        <v/>
      </c>
      <c r="BP50" s="35">
        <f>+BQ50-BL50-BM50-BN50-BO50</f>
        <v/>
      </c>
      <c r="BQ50" s="35">
        <f>+BR50-BK50</f>
        <v/>
      </c>
      <c r="BR50" s="35">
        <f>+'실적 Raw Data'!T50</f>
        <v/>
      </c>
      <c r="BS50" s="35">
        <f>BT50-BR50</f>
        <v/>
      </c>
      <c r="BT50" s="35">
        <f>+'실적 Raw Data'!BP50</f>
        <v/>
      </c>
      <c r="BU50" s="35">
        <f>+V50-BA50-BR50</f>
        <v/>
      </c>
      <c r="BV50" s="35">
        <f>+X50-BC50-BT50</f>
        <v/>
      </c>
      <c r="BW50" s="35">
        <f>IF(OR(LEFT(J51,1)="R", LEFT(J51,3)="QZZ"),0, '실적 Raw Data'!M50)</f>
        <v/>
      </c>
      <c r="BX50" s="35">
        <f>'실적 Raw Data'!V50</f>
        <v/>
      </c>
      <c r="BY50" s="27">
        <f>IF(OR(N51="V전지:SET",N51="V전지:set/oe"),BW50*22.9,BW50)</f>
        <v/>
      </c>
    </row>
    <row r="51">
      <c r="A51" s="19">
        <f>RIGHT('실적 Raw Data'!C51,4)&amp;"년"</f>
        <v/>
      </c>
      <c r="B51" s="19">
        <f>TRIM(MID('실적 Raw Data'!C51,9,4))</f>
        <v/>
      </c>
      <c r="C51" s="20">
        <f>IF(LEFT('실적 Raw Data'!A51,5)*1=20313,"차량",IF(LEFT('실적 Raw Data'!A51,5)*1=20314,"차량",IF(LEFT('실적 Raw Data'!A51,5)*1=20342,"산전","산전")))</f>
        <v/>
      </c>
      <c r="D51" s="19">
        <f>IF(LEFT('실적 Raw Data'!A51,5)*1=20342,"모티브",IF(LEFT('실적 Raw Data'!A51,5)*1=20345,"고정형",IF(LEFT('실적 Raw Data'!A51,5)*1=20313,"차량대리점","차량OE")))</f>
        <v/>
      </c>
      <c r="E51" s="21">
        <f>VLOOKUP($D51&amp;$H51,[1]지점코드!$A:$F,4,0)</f>
        <v/>
      </c>
      <c r="F51" s="21">
        <f>VLOOKUP($D51&amp;$H51,[1]지점코드!$A:$F,5,0)</f>
        <v/>
      </c>
      <c r="G51" s="21">
        <f>VLOOKUP($D51&amp;$H51,[1]지점코드!$A:$F,6,0)</f>
        <v/>
      </c>
      <c r="H51" s="19">
        <f>LEFT('실적 Raw Data'!E51,7)</f>
        <v/>
      </c>
      <c r="I51" s="19">
        <f>SUBSTITUTE((SUBSTITUTE('실적 Raw Data'!E51,H51,"")),"    ","")</f>
        <v/>
      </c>
      <c r="J51" s="19">
        <f>TRIM(LEFT('실적 Raw Data'!B51,11))</f>
        <v/>
      </c>
      <c r="K51" s="19">
        <f>TRIM((SUBSTITUTE('실적 Raw Data'!B51,J51,"")))</f>
        <v/>
      </c>
      <c r="L51" s="22">
        <f>IF(D51="모티브",VLOOKUP(C51&amp;J51,[1]제품분류!$A:$J,4,0),IF(D51="고정형",VLOOKUP(C51&amp;J51,[1]제품분류!$A:$J,4,0),IF(D51="차량대리점",VLOOKUP("차량대리점"&amp;J51,[1]제품분류!$A:$J,4,0),IF(D51="차량OE",VLOOKUP("차량OE"&amp;J51,[1]제품분류!$A:$J,4,0)))))</f>
        <v/>
      </c>
      <c r="M51" s="22">
        <f>IF(D51="모티브",VLOOKUP("산전"&amp;J51,[1]제품분류!$A:$J,5,0),IF(D51="고정형",VLOOKUP(C51&amp;J51,[1]제품분류!$A:$J,5,0),IF(D51="차량대리점",VLOOKUP("차량대리점"&amp;J51,[1]제품분류!$A:$J,5,0),IF(D51="차량OE", VLOOKUP(C51&amp;J51,[1]제품분류!$A:$J,5,0)))))</f>
        <v/>
      </c>
      <c r="N51" s="19">
        <f>IF(D51="모티브",VLOOKUP("산전"&amp;J51,[1]제품분류!$A:$J,6,0),IF(D51="고정형",VLOOKUP("산전"&amp;J51,[1]제품분류!$A:$J,6,0),IF(D51="차량대리점",VLOOKUP("차량대리점"&amp;J51,[1]제품분류!$A:$J,6,0))))</f>
        <v/>
      </c>
      <c r="O51" s="19">
        <f>IF(D51="모티브",VLOOKUP("산전"&amp;J51,[1]제품분류!$A:$J,7,0),IF(D51="고정형",VLOOKUP("산전"&amp;J51,[1]제품분류!$A:$J,7,0),IF(D51="차량대리점",VLOOKUP("차량대리점"&amp;J51,[1]제품분류!$A:$J,7,0),IF(D51="차량OE", VLOOKUP(D51&amp;J51,[1]제품분류!$A:$J,7,0)))))</f>
        <v/>
      </c>
      <c r="P51" s="19">
        <f>IF(D51="모티브",VLOOKUP("산전"&amp;J51,[1]제품분류!$A:$J,8,0),IF(D51="고정형",VLOOKUP("산전"&amp;J51,[1]제품분류!$A:$J,8,0),IF(D51="차량대리점",VLOOKUP("차량대리점"&amp;J51,[1]제품분류!$A:$J,8,0),IF(D51="차량OE", VLOOKUP(D51&amp;J51,[1]제품분류!$A:$J,8,0)))))</f>
        <v/>
      </c>
      <c r="Q51" s="34">
        <f>+'실적 Raw Data'!BN51</f>
        <v/>
      </c>
      <c r="R51" s="34">
        <f>+'실적 Raw Data'!BO51</f>
        <v/>
      </c>
      <c r="S51" s="34">
        <f>+T51-Q51-R51</f>
        <v/>
      </c>
      <c r="T51" s="35">
        <f>'실적 Raw Data'!H51</f>
        <v/>
      </c>
      <c r="U51" s="35">
        <f>'실적 Raw Data'!I51</f>
        <v/>
      </c>
      <c r="V51" s="35">
        <f>+'실적 Raw Data'!R51</f>
        <v/>
      </c>
      <c r="W51" s="35">
        <f>'실적 Raw Data'!J51</f>
        <v/>
      </c>
      <c r="X51" s="35">
        <f>'실적 Raw Data'!F51</f>
        <v/>
      </c>
      <c r="Y51" s="35">
        <f>+'실적 Raw Data'!AV51</f>
        <v/>
      </c>
      <c r="Z51" s="35">
        <f>+'실적 Raw Data'!AW51</f>
        <v/>
      </c>
      <c r="AA51" s="35">
        <f>+'실적 Raw Data'!AX51</f>
        <v/>
      </c>
      <c r="AB51" s="35">
        <f>+'실적 Raw Data'!AY51</f>
        <v/>
      </c>
      <c r="AC51" s="35">
        <f>+'실적 Raw Data'!AZ51</f>
        <v/>
      </c>
      <c r="AD51" s="35">
        <f>+Y51+Z51+AA51+AB51+AC51</f>
        <v/>
      </c>
      <c r="AE51" s="35">
        <f>+'실적 Raw Data'!BA51</f>
        <v/>
      </c>
      <c r="AF51" s="35">
        <f>+'실적 Raw Data'!BB51</f>
        <v/>
      </c>
      <c r="AG51" s="35">
        <f>+'실적 Raw Data'!BC51</f>
        <v/>
      </c>
      <c r="AH51" s="35">
        <f>+AE51+AF51+AG51</f>
        <v/>
      </c>
      <c r="AI51" s="35">
        <f>+'실적 Raw Data'!BD51</f>
        <v/>
      </c>
      <c r="AJ51" s="35">
        <f>+'실적 Raw Data'!BE51</f>
        <v/>
      </c>
      <c r="AK51" s="35">
        <f>+'실적 Raw Data'!BF51</f>
        <v/>
      </c>
      <c r="AL51" s="35">
        <f>+'실적 Raw Data'!BG51</f>
        <v/>
      </c>
      <c r="AM51" s="35">
        <f>+AJ51+AK51+AL51</f>
        <v/>
      </c>
      <c r="AN51" s="35">
        <f>+AD51+AH51+AI51+AM51</f>
        <v/>
      </c>
      <c r="AO51" s="35">
        <f>+'실적 Raw Data'!BH51</f>
        <v/>
      </c>
      <c r="AP51" s="36">
        <f>+'실적 Raw Data'!BJ51</f>
        <v/>
      </c>
      <c r="AQ51" s="35">
        <f>+AO51+AP51</f>
        <v/>
      </c>
      <c r="AR51" s="35">
        <f>+'실적 Raw Data'!BK51</f>
        <v/>
      </c>
      <c r="AS51" s="35">
        <f>+AQ51+AR51</f>
        <v/>
      </c>
      <c r="AT51" s="35">
        <f>+'실적 Raw Data'!BI51</f>
        <v/>
      </c>
      <c r="AU51" s="35">
        <f>+'실적 Raw Data'!BL51</f>
        <v/>
      </c>
      <c r="AV51" s="35">
        <f>+'실적 Raw Data'!BM51</f>
        <v/>
      </c>
      <c r="AW51" s="35">
        <f>SUM(AT51:AV51)</f>
        <v/>
      </c>
      <c r="AX51" s="35">
        <f>+AY51-(+AW51+AS51+AN51)+BX51</f>
        <v/>
      </c>
      <c r="AY51" s="35">
        <f>+'실적 Raw Data'!AT51</f>
        <v/>
      </c>
      <c r="AZ51" s="35">
        <f>+'실적 Raw Data'!X51+'실적 Raw Data'!Y51+'실적 Raw Data'!Z51</f>
        <v/>
      </c>
      <c r="BA51" s="35">
        <f>+'실적 Raw Data'!S51</f>
        <v/>
      </c>
      <c r="BB51" s="35">
        <f>'실적 Raw Data'!W51</f>
        <v/>
      </c>
      <c r="BC51" s="35">
        <f>+'실적 Raw Data'!G51</f>
        <v/>
      </c>
      <c r="BD51" s="35">
        <f>+'실적 Raw Data'!CS51</f>
        <v/>
      </c>
      <c r="BE51" s="35">
        <f>+'실적 Raw Data'!CT51</f>
        <v/>
      </c>
      <c r="BF51" s="35">
        <f>+'실적 Raw Data'!CW51</f>
        <v/>
      </c>
      <c r="BG51" s="35">
        <f>+'실적 Raw Data'!DE51</f>
        <v/>
      </c>
      <c r="BH51" s="35">
        <f>+'실적 Raw Data'!DH51</f>
        <v/>
      </c>
      <c r="BI51" s="35">
        <f>+'실적 Raw Data'!DJ51</f>
        <v/>
      </c>
      <c r="BJ51" s="35">
        <f>+'실적 Raw Data'!DL51</f>
        <v/>
      </c>
      <c r="BK51" s="35">
        <f>SUM(BD51:BJ51)</f>
        <v/>
      </c>
      <c r="BL51" s="35">
        <f>+'실적 Raw Data'!BY51+'실적 Raw Data'!BZ51+'실적 Raw Data'!CA51+'실적 Raw Data'!CB51+'실적 Raw Data'!CC51+'실적 Raw Data'!CD51+'실적 Raw Data'!CE51+'실적 Raw Data'!CF51</f>
        <v/>
      </c>
      <c r="BM51" s="35">
        <f>+'실적 Raw Data'!CH51</f>
        <v/>
      </c>
      <c r="BN51" s="35">
        <f>'실적 Raw Data'!CR51</f>
        <v/>
      </c>
      <c r="BO51" s="35">
        <f>+'실적 Raw Data'!CU51</f>
        <v/>
      </c>
      <c r="BP51" s="35">
        <f>+BQ51-BL51-BM51-BN51-BO51</f>
        <v/>
      </c>
      <c r="BQ51" s="35">
        <f>+BR51-BK51</f>
        <v/>
      </c>
      <c r="BR51" s="35">
        <f>+'실적 Raw Data'!T51</f>
        <v/>
      </c>
      <c r="BS51" s="35">
        <f>BT51-BR51</f>
        <v/>
      </c>
      <c r="BT51" s="35">
        <f>+'실적 Raw Data'!BP51</f>
        <v/>
      </c>
      <c r="BU51" s="35">
        <f>+V51-BA51-BR51</f>
        <v/>
      </c>
      <c r="BV51" s="35">
        <f>+X51-BC51-BT51</f>
        <v/>
      </c>
      <c r="BW51" s="35">
        <f>IF(OR(LEFT(J52,1)="R", LEFT(J52,3)="QZZ"),0, '실적 Raw Data'!M51)</f>
        <v/>
      </c>
      <c r="BX51" s="35">
        <f>'실적 Raw Data'!V51</f>
        <v/>
      </c>
      <c r="BY51" s="27">
        <f>IF(OR(N52="V전지:SET",N52="V전지:set/oe"),BW51*22.9,BW51)</f>
        <v/>
      </c>
    </row>
    <row r="52">
      <c r="A52" s="19">
        <f>RIGHT('실적 Raw Data'!C52,4)&amp;"년"</f>
        <v/>
      </c>
      <c r="B52" s="19">
        <f>TRIM(MID('실적 Raw Data'!C52,9,4))</f>
        <v/>
      </c>
      <c r="C52" s="20">
        <f>IF(LEFT('실적 Raw Data'!A52,5)*1=20313,"차량",IF(LEFT('실적 Raw Data'!A52,5)*1=20314,"차량",IF(LEFT('실적 Raw Data'!A52,5)*1=20342,"산전","산전")))</f>
        <v/>
      </c>
      <c r="D52" s="19">
        <f>IF(LEFT('실적 Raw Data'!A52,5)*1=20342,"모티브",IF(LEFT('실적 Raw Data'!A52,5)*1=20345,"고정형",IF(LEFT('실적 Raw Data'!A52,5)*1=20313,"차량대리점","차량OE")))</f>
        <v/>
      </c>
      <c r="E52" s="21">
        <f>VLOOKUP($D52&amp;$H52,[1]지점코드!$A:$F,4,0)</f>
        <v/>
      </c>
      <c r="F52" s="21">
        <f>VLOOKUP($D52&amp;$H52,[1]지점코드!$A:$F,5,0)</f>
        <v/>
      </c>
      <c r="G52" s="21">
        <f>VLOOKUP($D52&amp;$H52,[1]지점코드!$A:$F,6,0)</f>
        <v/>
      </c>
      <c r="H52" s="19">
        <f>LEFT('실적 Raw Data'!E52,7)</f>
        <v/>
      </c>
      <c r="I52" s="19">
        <f>SUBSTITUTE((SUBSTITUTE('실적 Raw Data'!E52,H52,"")),"    ","")</f>
        <v/>
      </c>
      <c r="J52" s="19">
        <f>TRIM(LEFT('실적 Raw Data'!B52,11))</f>
        <v/>
      </c>
      <c r="K52" s="19">
        <f>TRIM((SUBSTITUTE('실적 Raw Data'!B52,J52,"")))</f>
        <v/>
      </c>
      <c r="L52" s="22">
        <f>IF(D52="모티브",VLOOKUP(C52&amp;J52,[1]제품분류!$A:$J,4,0),IF(D52="고정형",VLOOKUP(C52&amp;J52,[1]제품분류!$A:$J,4,0),IF(D52="차량대리점",VLOOKUP("차량대리점"&amp;J52,[1]제품분류!$A:$J,4,0),IF(D52="차량OE",VLOOKUP("차량OE"&amp;J52,[1]제품분류!$A:$J,4,0)))))</f>
        <v/>
      </c>
      <c r="M52" s="22">
        <f>IF(D52="모티브",VLOOKUP("산전"&amp;J52,[1]제품분류!$A:$J,5,0),IF(D52="고정형",VLOOKUP(C52&amp;J52,[1]제품분류!$A:$J,5,0),IF(D52="차량대리점",VLOOKUP("차량대리점"&amp;J52,[1]제품분류!$A:$J,5,0),IF(D52="차량OE", VLOOKUP(C52&amp;J52,[1]제품분류!$A:$J,5,0)))))</f>
        <v/>
      </c>
      <c r="N52" s="19">
        <f>IF(D52="모티브",VLOOKUP("산전"&amp;J52,[1]제품분류!$A:$J,6,0),IF(D52="고정형",VLOOKUP("산전"&amp;J52,[1]제품분류!$A:$J,6,0),IF(D52="차량대리점",VLOOKUP("차량대리점"&amp;J52,[1]제품분류!$A:$J,6,0))))</f>
        <v/>
      </c>
      <c r="O52" s="19">
        <f>IF(D52="모티브",VLOOKUP("산전"&amp;J52,[1]제품분류!$A:$J,7,0),IF(D52="고정형",VLOOKUP("산전"&amp;J52,[1]제품분류!$A:$J,7,0),IF(D52="차량대리점",VLOOKUP("차량대리점"&amp;J52,[1]제품분류!$A:$J,7,0),IF(D52="차량OE", VLOOKUP(D52&amp;J52,[1]제품분류!$A:$J,7,0)))))</f>
        <v/>
      </c>
      <c r="P52" s="19">
        <f>IF(D52="모티브",VLOOKUP("산전"&amp;J52,[1]제품분류!$A:$J,8,0),IF(D52="고정형",VLOOKUP("산전"&amp;J52,[1]제품분류!$A:$J,8,0),IF(D52="차량대리점",VLOOKUP("차량대리점"&amp;J52,[1]제품분류!$A:$J,8,0),IF(D52="차량OE", VLOOKUP(D52&amp;J52,[1]제품분류!$A:$J,8,0)))))</f>
        <v/>
      </c>
      <c r="Q52" s="34">
        <f>+'실적 Raw Data'!BN52</f>
        <v/>
      </c>
      <c r="R52" s="34">
        <f>+'실적 Raw Data'!BO52</f>
        <v/>
      </c>
      <c r="S52" s="34">
        <f>+T52-Q52-R52</f>
        <v/>
      </c>
      <c r="T52" s="35">
        <f>'실적 Raw Data'!H52</f>
        <v/>
      </c>
      <c r="U52" s="35">
        <f>'실적 Raw Data'!I52</f>
        <v/>
      </c>
      <c r="V52" s="35">
        <f>+'실적 Raw Data'!R52</f>
        <v/>
      </c>
      <c r="W52" s="35">
        <f>'실적 Raw Data'!J52</f>
        <v/>
      </c>
      <c r="X52" s="35">
        <f>'실적 Raw Data'!F52</f>
        <v/>
      </c>
      <c r="Y52" s="35">
        <f>+'실적 Raw Data'!AV52</f>
        <v/>
      </c>
      <c r="Z52" s="35">
        <f>+'실적 Raw Data'!AW52</f>
        <v/>
      </c>
      <c r="AA52" s="35">
        <f>+'실적 Raw Data'!AX52</f>
        <v/>
      </c>
      <c r="AB52" s="35">
        <f>+'실적 Raw Data'!AY52</f>
        <v/>
      </c>
      <c r="AC52" s="35">
        <f>+'실적 Raw Data'!AZ52</f>
        <v/>
      </c>
      <c r="AD52" s="35">
        <f>+Y52+Z52+AA52+AB52+AC52</f>
        <v/>
      </c>
      <c r="AE52" s="35">
        <f>+'실적 Raw Data'!BA52</f>
        <v/>
      </c>
      <c r="AF52" s="35">
        <f>+'실적 Raw Data'!BB52</f>
        <v/>
      </c>
      <c r="AG52" s="35">
        <f>+'실적 Raw Data'!BC52</f>
        <v/>
      </c>
      <c r="AH52" s="35">
        <f>+AE52+AF52+AG52</f>
        <v/>
      </c>
      <c r="AI52" s="35">
        <f>+'실적 Raw Data'!BD52</f>
        <v/>
      </c>
      <c r="AJ52" s="35">
        <f>+'실적 Raw Data'!BE52</f>
        <v/>
      </c>
      <c r="AK52" s="35">
        <f>+'실적 Raw Data'!BF52</f>
        <v/>
      </c>
      <c r="AL52" s="35">
        <f>+'실적 Raw Data'!BG52</f>
        <v/>
      </c>
      <c r="AM52" s="35">
        <f>+AJ52+AK52+AL52</f>
        <v/>
      </c>
      <c r="AN52" s="35">
        <f>+AD52+AH52+AI52+AM52</f>
        <v/>
      </c>
      <c r="AO52" s="35">
        <f>+'실적 Raw Data'!BH52</f>
        <v/>
      </c>
      <c r="AP52" s="36">
        <f>+'실적 Raw Data'!BJ52</f>
        <v/>
      </c>
      <c r="AQ52" s="35">
        <f>+AO52+AP52</f>
        <v/>
      </c>
      <c r="AR52" s="35">
        <f>+'실적 Raw Data'!BK52</f>
        <v/>
      </c>
      <c r="AS52" s="35">
        <f>+AQ52+AR52</f>
        <v/>
      </c>
      <c r="AT52" s="35">
        <f>+'실적 Raw Data'!BI52</f>
        <v/>
      </c>
      <c r="AU52" s="35">
        <f>+'실적 Raw Data'!BL52</f>
        <v/>
      </c>
      <c r="AV52" s="35">
        <f>+'실적 Raw Data'!BM52</f>
        <v/>
      </c>
      <c r="AW52" s="35">
        <f>SUM(AT52:AV52)</f>
        <v/>
      </c>
      <c r="AX52" s="35">
        <f>+AY52-(+AW52+AS52+AN52)+BX52</f>
        <v/>
      </c>
      <c r="AY52" s="35">
        <f>+'실적 Raw Data'!AT52</f>
        <v/>
      </c>
      <c r="AZ52" s="35">
        <f>+'실적 Raw Data'!X52+'실적 Raw Data'!Y52+'실적 Raw Data'!Z52</f>
        <v/>
      </c>
      <c r="BA52" s="35">
        <f>+'실적 Raw Data'!S52</f>
        <v/>
      </c>
      <c r="BB52" s="35">
        <f>'실적 Raw Data'!W52</f>
        <v/>
      </c>
      <c r="BC52" s="35">
        <f>+'실적 Raw Data'!G52</f>
        <v/>
      </c>
      <c r="BD52" s="35">
        <f>+'실적 Raw Data'!CS52</f>
        <v/>
      </c>
      <c r="BE52" s="35">
        <f>+'실적 Raw Data'!CT52</f>
        <v/>
      </c>
      <c r="BF52" s="35">
        <f>+'실적 Raw Data'!CW52</f>
        <v/>
      </c>
      <c r="BG52" s="35">
        <f>+'실적 Raw Data'!DE52</f>
        <v/>
      </c>
      <c r="BH52" s="35">
        <f>+'실적 Raw Data'!DH52</f>
        <v/>
      </c>
      <c r="BI52" s="35">
        <f>+'실적 Raw Data'!DJ52</f>
        <v/>
      </c>
      <c r="BJ52" s="35">
        <f>+'실적 Raw Data'!DL52</f>
        <v/>
      </c>
      <c r="BK52" s="35">
        <f>SUM(BD52:BJ52)</f>
        <v/>
      </c>
      <c r="BL52" s="35">
        <f>+'실적 Raw Data'!BY52+'실적 Raw Data'!BZ52+'실적 Raw Data'!CA52+'실적 Raw Data'!CB52+'실적 Raw Data'!CC52+'실적 Raw Data'!CD52+'실적 Raw Data'!CE52+'실적 Raw Data'!CF52</f>
        <v/>
      </c>
      <c r="BM52" s="35">
        <f>+'실적 Raw Data'!CH52</f>
        <v/>
      </c>
      <c r="BN52" s="35">
        <f>'실적 Raw Data'!CR52</f>
        <v/>
      </c>
      <c r="BO52" s="35">
        <f>+'실적 Raw Data'!CU52</f>
        <v/>
      </c>
      <c r="BP52" s="35">
        <f>+BQ52-BL52-BM52-BN52-BO52</f>
        <v/>
      </c>
      <c r="BQ52" s="35">
        <f>+BR52-BK52</f>
        <v/>
      </c>
      <c r="BR52" s="35">
        <f>+'실적 Raw Data'!T52</f>
        <v/>
      </c>
      <c r="BS52" s="35">
        <f>BT52-BR52</f>
        <v/>
      </c>
      <c r="BT52" s="35">
        <f>+'실적 Raw Data'!BP52</f>
        <v/>
      </c>
      <c r="BU52" s="35">
        <f>+V52-BA52-BR52</f>
        <v/>
      </c>
      <c r="BV52" s="35">
        <f>+X52-BC52-BT52</f>
        <v/>
      </c>
      <c r="BW52" s="35">
        <f>IF(OR(LEFT(J53,1)="R", LEFT(J53,3)="QZZ"),0, '실적 Raw Data'!M52)</f>
        <v/>
      </c>
      <c r="BX52" s="35">
        <f>'실적 Raw Data'!V52</f>
        <v/>
      </c>
      <c r="BY52" s="27">
        <f>IF(OR(N53="V전지:SET",N53="V전지:set/oe"),BW52*22.9,BW52)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2026-09-22T07:07:32Z</dcterms:created>
  <dcterms:modified xmlns:dcterms="http://purl.org/dc/terms/" xmlns:xsi="http://www.w3.org/2001/XMLSchema-instance" xsi:type="dcterms:W3CDTF">2026-09-29T09:00:39Z</dcterms:modified>
  <cp:lastModifiedBy>user</cp:lastModifiedBy>
</cp:coreProperties>
</file>